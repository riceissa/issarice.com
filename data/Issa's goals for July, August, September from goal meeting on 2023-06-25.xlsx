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s pile" sheetId="1" r:id="rId4"/>
    <sheet state="visible" name="Completed tasks" sheetId="2" r:id="rId5"/>
    <sheet state="visible" name="Cognitive and physical state" sheetId="3" r:id="rId6"/>
    <sheet state="visible" name="Tasks to do in the moment" sheetId="4" r:id="rId7"/>
    <sheet state="visible" name="Sheet5" sheetId="5" r:id="rId8"/>
  </sheets>
  <definedNames/>
  <calcPr/>
</workbook>
</file>

<file path=xl/comments1.xml><?xml version="1.0" encoding="utf-8"?>
<comments xmlns:r="http://schemas.openxmlformats.org/officeDocument/2006/relationships" xmlns="http://schemas.openxmlformats.org/spreadsheetml/2006/main">
  <authors>
    <author/>
  </authors>
  <commentList>
    <comment authorId="0" ref="E1">
      <text>
        <t xml:space="preserve">1 if help (e.g. Chantal's presence) is required to complete the task; 0 if it can be done on my own</t>
      </text>
    </comment>
    <comment authorId="0" ref="G2">
      <text>
        <t xml:space="preserve">Hit ctrl-; to insert this in the cell</t>
      </text>
    </comment>
    <comment authorId="0" ref="A35">
      <text>
        <t xml:space="preserve">Deliverables:
1) spreadsheet
2) one page summary for health providers
3) blog post</t>
      </text>
    </comment>
  </commentList>
</comments>
</file>

<file path=xl/comments2.xml><?xml version="1.0" encoding="utf-8"?>
<comments xmlns:r="http://schemas.openxmlformats.org/officeDocument/2006/relationships" xmlns="http://schemas.openxmlformats.org/spreadsheetml/2006/main">
  <authors>
    <author/>
  </authors>
  <commentList>
    <comment authorId="0" ref="A1">
      <text>
        <t xml:space="preserve">Use ctrl-alt-shift-; to insert the current datetime</t>
      </text>
    </comment>
  </commentList>
</comments>
</file>

<file path=xl/sharedStrings.xml><?xml version="1.0" encoding="utf-8"?>
<sst xmlns="http://schemas.openxmlformats.org/spreadsheetml/2006/main" count="711" uniqueCount="234">
  <si>
    <t>task</t>
  </si>
  <si>
    <t>importance</t>
  </si>
  <si>
    <t>cognitive_demand</t>
  </si>
  <si>
    <t>physical_demand</t>
  </si>
  <si>
    <t>help_required</t>
  </si>
  <si>
    <t>blocked</t>
  </si>
  <si>
    <t>date added</t>
  </si>
  <si>
    <t>migrate from linode to oracle cloud</t>
  </si>
  <si>
    <t>A</t>
  </si>
  <si>
    <t>C</t>
  </si>
  <si>
    <t>watch a movie</t>
  </si>
  <si>
    <t>D</t>
  </si>
  <si>
    <t>wash dishes (importance score = the number of dirty plates/bowls/cups in my room)</t>
  </si>
  <si>
    <t>B</t>
  </si>
  <si>
    <t>search up trouble initiating swallow and trouble swallowing larger bolus. In general, try to find people with similar (not just generic) dysphagia. To see if these people have tips on how to overcome my own dysphagia (the dysphagia discord has so far been useless). Tried this a bit on 2023-09-20 and discovered the pseudodysphagia subreddit, which seems potentially similar.</t>
  </si>
  <si>
    <t>check vanguard statement for september 2023</t>
  </si>
  <si>
    <t>call overlake and bardy dx about CAM monitor financial assistance? Overlake's number is 425-688-5670. Bardy dx's number is 1-844-341-1491. When calling both, tell them it's a 14-day cardiac monitor/CAM monitor and out of pocket fee is too high and not covered by insurance and would like to know if financial assistance is available and what the requirements are. UPDATE: bardy dx never replied despite following up. not sure what to do here other than calling them again or giving up.</t>
  </si>
  <si>
    <r>
      <rPr/>
      <t xml:space="preserve">HRV stuff from Joshua Waitzkin -- find the exercise and start doing it? (Update: on 2023-10-20 I finally did the Leah Lagos "finding your resonant frequency" test that i built an app for at </t>
    </r>
    <r>
      <rPr>
        <color rgb="FF1155CC"/>
        <u/>
      </rPr>
      <t>https://files.issarice.com/breath.html</t>
    </r>
    <r>
      <rPr/>
      <t xml:space="preserve"> . However, I guess I still need to keep practicing this? dunno if the book/waitzkin mentioned any other exercises.)</t>
    </r>
  </si>
  <si>
    <t>red light/vielight breathing  meeting</t>
  </si>
  <si>
    <t>ask mother to get pressure cooker out</t>
  </si>
  <si>
    <t>ask parents how they feel about using the instant pot for recipes -- would it help them make things easier?</t>
  </si>
  <si>
    <t>try drinking with a straw (tried this once with chantal, sometime in october 2023. but i don't think it really sped up my smoothie drinking speed. so idk, i am marking this down in priority for now but open to trying more experiments. Update: at the end of october/beginning of november, i again tried drinking more smoothies with a straw. i think it's ok but probably doesn't speed things up?)</t>
  </si>
  <si>
    <t>finish Functional Immunology (pre Module 1) for Yanuck</t>
  </si>
  <si>
    <t>decide whether to read more of "How Mathematicians Think
Using Ambiguity, Contradiction, and Paradox to Create Mathematics"</t>
  </si>
  <si>
    <r>
      <rPr/>
      <t xml:space="preserve">Maybe watch "An Introduction to Focused Ultrasound Neuromodulation" (a talk that AKC sent me) </t>
    </r>
    <r>
      <rPr>
        <color rgb="FF1155CC"/>
        <u/>
      </rPr>
      <t>https://youtu.be/8cSDYx7UoBY?si=6dTBR0PKiOtxw7De</t>
    </r>
  </si>
  <si>
    <t>Rewatch lecture 3 from Yanuck Functional Immunology intro module</t>
  </si>
  <si>
    <t>read 1 section a day from 3.1 to 3.7 inclusive, in Janeway's immunobiology</t>
  </si>
  <si>
    <t>get a new syringe that works with LDN bottle</t>
  </si>
  <si>
    <t>figure out wtf is up with the dental records. i got a 42-page pdf of all my medicaid records, but i couldn't find anything about panel/panoramic x-rays. do i need to call them up again or what?</t>
  </si>
  <si>
    <t>buy whey powder</t>
  </si>
  <si>
    <t>consider going to a rheumatologist. Jain said don't bother going, but now that i'm actually treating sjogren's it might make sense to get an opinion from one.</t>
  </si>
  <si>
    <t>pursue mechanical evaluation as suggested by jeff wood</t>
  </si>
  <si>
    <t>vacuum room floor</t>
  </si>
  <si>
    <t>think about wisdom tooth removal</t>
  </si>
  <si>
    <t>view Ally bank october statement</t>
  </si>
  <si>
    <t>make post on r/FlashCardCrafting about GEB anki cards</t>
  </si>
  <si>
    <t>figure out getting more probars</t>
  </si>
  <si>
    <t>get covid shot. schedule at QFC. check if they do walk ins</t>
  </si>
  <si>
    <t>try a new generic med (star means need to do more research before trying): digestive bitters -&gt; anal fissure cream -&gt; Motility Activator (ginger + artichoke leaf) -&gt; sunfiber/PHGG -&gt; salt tablets* -&gt; amla* -&gt; butterbur/feverfew* -&gt; taste and score zinc -&gt; PEA (bowen said it's ok to try for pain) -&gt; bentofiamine* -&gt; CBD oil -&gt; cromolyn -&gt; micellized vitamin C*</t>
  </si>
  <si>
    <t>try a new anxiety med (star means need to do more research before trying): passionflower -&gt; start again on 5 mg lithium orotate -&gt; try more hydroxyzine -&gt; propranolol (for heart racing) -&gt; taking more of the Ultra Binder (charcoal/clay) -&gt; kava* (worried about liver warnings)</t>
  </si>
  <si>
    <t>try a new mood boosting med (star means need to do more research before trying): positive mood caffeinated tea -&gt; methyl factors B12 -&gt; strattera -&gt; Life Extension brand methyl-B12 -&gt; bromantane -&gt; rhodiola -&gt; d-serine* -&gt; agmatine* -&gt; alpha lipoic acid* -&gt; pregnenolone* -&gt; ritalin (if brain fog) -&gt; THC*???</t>
  </si>
  <si>
    <t>help goose start on red light trial journey</t>
  </si>
  <si>
    <t>start nystatin</t>
  </si>
  <si>
    <r>
      <rPr/>
      <t xml:space="preserve">medical info page? (a page on my website, or maybe a LW post, that goes into details about my illness and what i've tried. or maybe a page that is publicly accessible that can be printed and given to emergency staff) have started on part of this at </t>
    </r>
    <r>
      <rPr>
        <color rgb="FF1155CC"/>
        <u/>
      </rPr>
      <t>https://docs.google.com/spreadsheets/d/1n5ztTZ0gsqsOnZAjknwY6Sgeq8jkpE58GPBdypTJ6Mk/edit#gid=0</t>
    </r>
  </si>
  <si>
    <t>research POTS+clonidine/ativan/etc. is it even a good idea to lower blood pressure using things like propranolol/clonidine?</t>
  </si>
  <si>
    <t>write up the exact kinds of breathing difficulty i experience. make a phenomenological report of it. people are way too imprecise, and i can do better.</t>
  </si>
  <si>
    <t>probably message jan pryor about my difficulties with switching to a liquid-only/pureed diet. say i want help with swallowing.</t>
  </si>
  <si>
    <t>trying different methods for swallow that Chantal suggested. See the Roam block ((-EOlFlrUw))</t>
  </si>
  <si>
    <t>reset charles schwab debit pin</t>
  </si>
  <si>
    <t>Create 1 new post every 30 days, for 6 months on r/FlashcardCrafting</t>
  </si>
  <si>
    <t>Do PT stretches 2x in a week</t>
  </si>
  <si>
    <t>do weights 2x in a week</t>
  </si>
  <si>
    <t xml:space="preserve">try different sources that provide varying ratios of insoluble:soluble fiber - BLOCKED on chantal bringing psyllium husk </t>
  </si>
  <si>
    <t>backups/data preservation</t>
  </si>
  <si>
    <t>try to get old gateway machine to work with the old hard drives</t>
  </si>
  <si>
    <t>drink smoothie 2x in a week - BLOCKED on whey protein powder purchase</t>
  </si>
  <si>
    <t>find a video game i might like (idk, i feel like i tried this quite a bit in the past and it's just quite hard to find one. a lot of games may be fine for like an hour or two, but it's just too much overhead in terms of search and money. i really want to find games like Civilization where I can spent hundreds of hours on them.)</t>
  </si>
  <si>
    <t>when i have trouble breathing, try humming for 10 minutes to see if that helps</t>
  </si>
  <si>
    <t>use chlorhexidine</t>
  </si>
  <si>
    <t>think more about gmail recovery email (gmail keeps bugging me about it)</t>
  </si>
  <si>
    <t>Master Buteyko breathing</t>
  </si>
  <si>
    <t>Create exercise plan to start doing exercise daily</t>
  </si>
  <si>
    <t>mindful art</t>
  </si>
  <si>
    <r>
      <rPr/>
      <t xml:space="preserve">check out </t>
    </r>
    <r>
      <rPr>
        <color rgb="FF1155CC"/>
        <u/>
      </rPr>
      <t>https://twitter.com/jenbrea</t>
    </r>
    <r>
      <rPr/>
      <t xml:space="preserve"> and see if i should reach out to them (UPDATE: watched Unrest and read some of her twitter/medium. still keeping this here so i am reminded of her and read more of her writings.)</t>
    </r>
  </si>
  <si>
    <t>read "Recognizing and Treating Breathing Disorders" book (UPDATE: blocked on chantal going through the book and pointing out the most promising parts of it.)</t>
  </si>
  <si>
    <t>make CT scan appt for chest/lungs to get more data the xray didn't give. see roam page "UW CT scan info".</t>
  </si>
  <si>
    <t>find more movies i might like (bumping up difficulty as i think i've exhausted the low-hanging fruit of research -- movielens, chatgpt, reddit, "similar movies" websites; now i'm going to have to get a lot more creative or lucky to find movies)</t>
  </si>
  <si>
    <t>use david delight delta device?</t>
  </si>
  <si>
    <r>
      <rPr/>
      <t xml:space="preserve">finish watching that central apnea video that i was watching with chantal </t>
    </r>
    <r>
      <rPr>
        <color rgb="FF1155CC"/>
        <u/>
      </rPr>
      <t>https://www.youtube.com/watch?v=A3Nz1he24O8&amp;pp=ygUfc2xlZXAgYXBuZWEgY2VudHJhbCBvYnN0cnVjdGl2ZQ%3D%3D</t>
    </r>
  </si>
  <si>
    <t>get back in the routine of doing swallow exercises https://docs.google.com/document/d/14y_M2SzZYR1irhfNSwMPHw3MYSF8ekSp/edit and see the paper handout oberhofer gave me</t>
  </si>
  <si>
    <t>domain names -- is there a way to appoint successor? -- seems like the only formal way to do this is to put it in a will, so now i need to research how to make a will in washington state, and how to leave account login details in the will. A will in washington state requires two non-benefitting witnesses, which seems fucking annoying, because the people who are easiest to ask are the ones that would benefit (like family and close friends). not sure what to do about this. maybe i should just informally leave instructions.</t>
  </si>
  <si>
    <t>ER checklist (search for ER manuals online, use the ER pamphlet chantal took photos of from my ER visit)</t>
  </si>
  <si>
    <t>handoff plan to vipul</t>
  </si>
  <si>
    <t>clean corner of my room (the corner with all the food/meds and plastic tubs)</t>
  </si>
  <si>
    <t>fix my health trackers</t>
  </si>
  <si>
    <t>put in new hepa filter</t>
  </si>
  <si>
    <r>
      <rPr/>
      <t xml:space="preserve">watch </t>
    </r>
    <r>
      <rPr>
        <color rgb="FF1155CC"/>
        <u/>
      </rPr>
      <t>https://www.youtube.com/watch?v=TZNhxYcYbjU</t>
    </r>
    <r>
      <rPr/>
      <t xml:space="preserve"> " Hard to swallow - retraining the brain "</t>
    </r>
  </si>
  <si>
    <r>
      <rPr/>
      <t xml:space="preserve">figure out the thing Mew said about sucking on your cheeks? i think i do that when i swallow and i notice my cheeks (esp right one) has like a ridge on it from the sucking. i think it was this video </t>
    </r>
    <r>
      <rPr>
        <color rgb="FF1155CC"/>
        <u/>
      </rPr>
      <t>https://www.youtube.com/watch?v=iTN5VDldq2U</t>
    </r>
    <r>
      <rPr/>
      <t xml:space="preserve"> UPDATE: so, i watched this video, but it's super vague and it's just the guy talking and no diagrams. i tried looking up wtf this hoffman device is, and i wasn't able to find any standalone document describing it. it's just mentioned in some random places like Mew's videos.</t>
    </r>
  </si>
  <si>
    <t>research on tvns and dysautonomia</t>
  </si>
  <si>
    <t>figure out more band exercises? (i think focus should first be on consistently doing the PT stretches, not figuring out more exercises)</t>
  </si>
  <si>
    <t>buy pedialyte packets?? update: my dad says he actually has pedialyte powder. update: i drank the "fruit punch" flavor once when my sister made it for me but it was disgustingly sweet and artificial-tasting, so i don't think i can drink it regularly. i wonder if they sell flavorless packets or packets where the only sweetener is dextrose. basically i want to unflavored official pedialyte bottle without the water.</t>
  </si>
  <si>
    <t>look up post-orgasm/orgasming heart palpitation thing again.</t>
  </si>
  <si>
    <t>get more horsegram</t>
  </si>
  <si>
    <t>look into the swallowing and breathing videos mark sent. subject:"swallowing and sleep breathing"</t>
  </si>
  <si>
    <t>look at sleeping position videos mark sent. the email has no subject, but search for "sleeping position links (last two links)"</t>
  </si>
  <si>
    <t>try apple watch app that mark recommended (autosleep?). see mark's email (search autosleep) for some info. also check my notes from the meeting that mentioned this.</t>
  </si>
  <si>
    <t>reply to oregon cryonics?</t>
  </si>
  <si>
    <t>look at Dr. Lechin links mark forwarded. see subject:"fwd: long covid autoimmune".</t>
  </si>
  <si>
    <t>15-60min in garden outside listening to animals (mark as done after doing 10 times). Currently done with 3/10.</t>
  </si>
  <si>
    <t>try balance app that lakshmi recommended</t>
  </si>
  <si>
    <t>what causes nose whistling?</t>
  </si>
  <si>
    <t>try flonase again</t>
  </si>
  <si>
    <t>try eating from smaller bowl so food doesn't spoil/dry out as easily</t>
  </si>
  <si>
    <t>i'd like to try the cream the anal doctor gave me. but idk how to fit it in with everything else going on. with miralax+flax still working so well (almost all the time, anyway), i feel like this is not a huge priority. but still, i don't want things to drag on too long either.</t>
  </si>
  <si>
    <t>reply to kate farms nutritionist RE the kind of oil they use. subject:"Product Use"</t>
  </si>
  <si>
    <t>learn more about LDN?</t>
  </si>
  <si>
    <t>use Neilmed 2x in a week</t>
  </si>
  <si>
    <t>use Neilmed 3x in a week</t>
  </si>
  <si>
    <t>work through solomon's algebra textbook</t>
  </si>
  <si>
    <t>Write comment on Alex Flint logical induction post</t>
  </si>
  <si>
    <t>Write comment on Alex Altair entropy post</t>
  </si>
  <si>
    <t>look back at shay homework on roam</t>
  </si>
  <si>
    <t>reply to coherence therapy mailing list</t>
  </si>
  <si>
    <t>sit and eat and try to retain/recover energy</t>
  </si>
  <si>
    <t>read vipul's post; see gmail "[LessWrong] You have been shared on the draft The current state of machine learning and concerns about artificial intelligence"</t>
  </si>
  <si>
    <t>which foods are high in quercetin (but note: "Quercetin supplements in the aglycone form are less bioavailable than the quercetin glycoside often found in foods, especially red onions"), histamine, and tryptophan? (lowering the priority since chantal said this might just feed into my anxieties around food)</t>
  </si>
  <si>
    <t>someone recommended to try clonidine and salt water/pedialyte for hunger attacks. i no longer remember who recommended this to me. it was just on a sticky note on my desk.</t>
  </si>
  <si>
    <t>see if ally or charles schwab have a way to deposit a check without going to an atm (this was for the WA gov unclaimed property check of $18.50, but i finally got around to depositing that check so this is lower priority now until i get another check)</t>
  </si>
  <si>
    <t>wash bedding (importance = number of days overdue)</t>
  </si>
  <si>
    <t>play pokemon</t>
  </si>
  <si>
    <r>
      <rPr/>
      <t xml:space="preserve">check if i've ever gotten zinc levels measured </t>
    </r>
    <r>
      <rPr>
        <color rgb="FF1155CC"/>
        <u/>
      </rPr>
      <t>https://www.reddit.com/r/GERD/comments/se751x/if_you_havent_already_i_recommend_getting_your/</t>
    </r>
  </si>
  <si>
    <t>read roam page MCAS differential diagnosis - there's a paper</t>
  </si>
  <si>
    <t>investigate intersections of sjogren's with other symptoms i have: dysphagia, hunger attacks, breathing difficult, etc.</t>
  </si>
  <si>
    <t>generic med trials completed: neilmed (nasal rinse) -&gt; azelastine hcl nasal solution -&gt; Kate Farms chocolate shake -&gt;  increasing quercetin dose -&gt; mullein leaf/wood betony breathing tea -&gt; digestive enzymes -&gt; fluticasone propionate nasal spray</t>
  </si>
  <si>
    <t>anxiety med trials completed: trying increased amounts of l-theanine powder -&gt; GABA powder -&gt; clonidine (for heart racing) -&gt;  -&gt; benzodiazepines???</t>
  </si>
  <si>
    <t>process the list i sent to shay and figure out when to try what</t>
  </si>
  <si>
    <t>try yogi positive energy tea</t>
  </si>
  <si>
    <t>wash pillow case</t>
  </si>
  <si>
    <t>figure out quercetin powder</t>
  </si>
  <si>
    <t>wtf happened to lakshmi, and should i keeep meeting her anyway?</t>
  </si>
  <si>
    <t>track when swallowing is good or bad</t>
  </si>
  <si>
    <r>
      <rPr/>
      <t xml:space="preserve">research </t>
    </r>
    <r>
      <rPr>
        <color rgb="FF1155CC"/>
        <u/>
      </rPr>
      <t>https://www.google.com/search?q=site%3Areddit.com+mcas+allergy+shots</t>
    </r>
  </si>
  <si>
    <t>email bowen about kate farms shake</t>
  </si>
  <si>
    <t>tutoring kenny?? (he hasn't contact since last week or so)</t>
  </si>
  <si>
    <t>schedule autonomic nervous system test</t>
  </si>
  <si>
    <t>think about purchasing Boost drink and whether it's a good idea to purchase a trial pack</t>
  </si>
  <si>
    <r>
      <rPr/>
      <t xml:space="preserve">subscribe to news/updates about Medicaid in order to benefit from the lead time fully. (done as of 2023-07-19. signed up for the mailing list for apple health updates via instructions at </t>
    </r>
    <r>
      <rPr>
        <color rgb="FF1155CC"/>
        <u/>
      </rPr>
      <t>https://www.hca.wa.gov/assets/free-or-low-cost/changes-apple-health-continued-coverage.pdf</t>
    </r>
    <r>
      <rPr/>
      <t xml:space="preserve"> )</t>
    </r>
  </si>
  <si>
    <t>watch/try mark's buteyko breathing video</t>
  </si>
  <si>
    <t>learn about Halter monitor</t>
  </si>
  <si>
    <t>grind more chamomile flowers</t>
  </si>
  <si>
    <t>try digestive enzymes?? (bowen never replied, so waiting until meeting with her)</t>
  </si>
  <si>
    <t>shaayaan anki stuff (only needs like 1-2 hr per week of work)</t>
  </si>
  <si>
    <t>install new coway filters/reset sensor</t>
  </si>
  <si>
    <t>deal with filter light on the AC</t>
  </si>
  <si>
    <t>message ummat</t>
  </si>
  <si>
    <r>
      <rPr/>
      <t xml:space="preserve">watch </t>
    </r>
    <r>
      <rPr>
        <color rgb="FF1155CC"/>
        <u/>
      </rPr>
      <t>https://www.youtube.com/watch?v=CE5FhpJKO6U</t>
    </r>
  </si>
  <si>
    <t>learn how to use epi-pen (maybe make anki cards)</t>
  </si>
  <si>
    <t>do exercise bike (it'll be great once the weather cools down, but it's just so hot inside now, and there's no room in the AC room)</t>
  </si>
  <si>
    <t>check out breathing book chantal found (james nestor)</t>
  </si>
  <si>
    <t>Help Chantal with her phone backup</t>
  </si>
  <si>
    <t>Do Organic Acids Test</t>
  </si>
  <si>
    <t>Follow up with Lakshmi when she returns</t>
  </si>
  <si>
    <t>Do immune book Chapter 1-24</t>
  </si>
  <si>
    <t>Help Chantal with contacting landlady about fire extinguisher and smoke detector contact for her apartment</t>
  </si>
  <si>
    <t>Purchase and set up bird feeder</t>
  </si>
  <si>
    <t>Send Mark and Shay emails about SNS/PSNS thing</t>
  </si>
  <si>
    <t>Start doing Buteyko breathing with Chantal</t>
  </si>
  <si>
    <t>Meet UW dietician</t>
  </si>
  <si>
    <t>Go over Organic Acids test with Chantal</t>
  </si>
  <si>
    <t>AC filter cleaning</t>
  </si>
  <si>
    <t>Air filter replacement</t>
  </si>
  <si>
    <t>Bowen meeting to discuss Labcorp results and LDN</t>
  </si>
  <si>
    <t>Learn about the chemical reactions of breathing</t>
  </si>
  <si>
    <t>Create Immune Anki cards for Chapter 1-22</t>
  </si>
  <si>
    <t>Create Epipen Anki cards</t>
  </si>
  <si>
    <t>Complete sleep study at Overlake</t>
  </si>
  <si>
    <t>Talk to Oregon Cryonics people</t>
  </si>
  <si>
    <t>Fill out 8802 form for Mother</t>
  </si>
  <si>
    <t>Create r/FlashCardCrafting</t>
  </si>
  <si>
    <t>Write quercetin cessation effects</t>
  </si>
  <si>
    <t>Meet Ummat for follow up on turbinates in late August</t>
  </si>
  <si>
    <t>Do swallow study at UW</t>
  </si>
  <si>
    <t>Finish transferring loose leaf notes to online systems</t>
  </si>
  <si>
    <t>talk to google one support for 1 hour to figure out bekkuamma subscription not being charged to my card</t>
  </si>
  <si>
    <t>Set up GnuCash to do money tracking</t>
  </si>
  <si>
    <t>Create double entry bookeeping Anki cards</t>
  </si>
  <si>
    <t>try inserting SIM card from the medicaid phone into my regular phone</t>
  </si>
  <si>
    <r>
      <rPr/>
      <t xml:space="preserve">try nasal unblocking exercise </t>
    </r>
    <r>
      <rPr>
        <color rgb="FF1155CC"/>
        <u/>
      </rPr>
      <t>https://www.youtube.com/watch?v=cU4ls5ku4Rg</t>
    </r>
  </si>
  <si>
    <t>are nasal strips ok to keep using? (searched on reddit and didn't find anything, ummat said it was ok)</t>
  </si>
  <si>
    <r>
      <rPr/>
      <t xml:space="preserve">try the how-how tool (maybe need to wait for lakshmi to message me with more instructions) -- I tried doing this at </t>
    </r>
    <r>
      <rPr>
        <color rgb="FF1155CC"/>
        <u/>
      </rPr>
      <t>https://roamresearch.com/#/app/issa-test/page/0yVeMhHGn</t>
    </r>
    <r>
      <rPr/>
      <t xml:space="preserve"> on 2023-09-06, but i feel like it didn't really work.</t>
    </r>
  </si>
  <si>
    <t>Read 'Worry Cure' to satisfaction</t>
  </si>
  <si>
    <t>Do AVISE panel once received</t>
  </si>
  <si>
    <t>Start LDN (low dose naltrexone) (blocked on: doing avise blood draw)</t>
  </si>
  <si>
    <t>Read "Breath" by James Nestor to satisfaction</t>
  </si>
  <si>
    <t>think about tube socks (want to check in with chantal now that i've done a bit of research and feel overwhelmed)</t>
  </si>
  <si>
    <t>wait for sleep study results, then maybe ask for capnometer from pulmonology (UPDATE: my transcutaneous CO2 levels seemed to be at the upper end of normal, so i think this is no longer necessary. i was previously worried about having too low CO2 (which is what the howard cooper video led me to believe!). so while i don't think measuring CO2 levels is important now, i do think i need to think more about CO2 stuff... like wtf is going on with my body? what *is* my breathing problem caused by?)</t>
  </si>
  <si>
    <t>come up with a list of stuff i can do when i'm kinda fucked up but it's not exactly an episode (UPDATE: idk, this is like my eternal struggle, and i don't think there are easy fixes here. or in some sense, every day i am figuring this out in some way by doing various things and seeing what i like.)</t>
  </si>
  <si>
    <t>ask uw autonomic ppl if i can take ativan etc before the test</t>
  </si>
  <si>
    <t>research how to back up new files on my laptop (UPDATE 2023-09-21: I'm kinda just going ahead and doing this now, starting with the 4TB toshiba drive, and trying to make a "master files list". we'll see how it goes.)</t>
  </si>
  <si>
    <t>try neilmed sinus spray (saline spray)</t>
  </si>
  <si>
    <t>15-60min in garden outside listening to animals</t>
  </si>
  <si>
    <t>order more kate farms shake as an emergency food? (out of stock; waiting for kate farms to restock)</t>
  </si>
  <si>
    <t>ask dzikowski about hydroxyzine hcl vs pamoate</t>
  </si>
  <si>
    <t>Make sure Overlake cardiology people got CAM monitor referral, and then go to Overlake to get the monitor strapped on</t>
  </si>
  <si>
    <t>send altman questions about treatment plan</t>
  </si>
  <si>
    <t>learn about nose cones with Chantal</t>
  </si>
  <si>
    <t>try nose cones</t>
  </si>
  <si>
    <t>seek clarification from bowen on whether to do autonomic testing</t>
  </si>
  <si>
    <t>get hydrogen peroxide (added to paper shopping list)</t>
  </si>
  <si>
    <t>get labcorp serotonin urine collection done</t>
  </si>
  <si>
    <t>get altman's blood tests done</t>
  </si>
  <si>
    <t>message Nuga thread to make sure i don't need to do anything to keep seeing her at kirkland. UPDATE (2023-10-20): it was one of those threads that you can't reply to on a software level. i think i'm just going to trust that everything will work out, and will make phone calls or w/e if necessary in the future.</t>
  </si>
  <si>
    <t>Work on Tao blog post (UPDATE 2023-10-20: wrote 3 posts already in october, so marking this as done)</t>
  </si>
  <si>
    <r>
      <rPr/>
      <t xml:space="preserve">check out Jeff Wood and see if i should reach out to him </t>
    </r>
    <r>
      <rPr>
        <color rgb="FF1155CC"/>
        <u/>
      </rPr>
      <t>https://www.explorewithjeff.com/</t>
    </r>
  </si>
  <si>
    <t>drink smoothie 3x in a week (drank smoothie 3.5 times on week of october 15, 2023)</t>
  </si>
  <si>
    <t>drink smoothie 3x in a week (drank 5 times on week of october 8, 2023)</t>
  </si>
  <si>
    <t>call to figure out how much bastyr acupuncture costs "Hi Isa, this is the bachelor Center for Natural Health reaching out because we see that you have a referral on file. To our acupuncture department, so want to see if you were interested in getting scheduled. We're here in the teaching clinics till about 8:30 tonight. You can call 206-834-4100. Call at your convenience. I hope you have a great day. Thanks so much. "</t>
  </si>
  <si>
    <t>backups: check the "corrupted folder" thing on drive (Update: this turned out to just be filenames using special characters that Windows didn't like.)</t>
  </si>
  <si>
    <t>reevaluate azelastine  (but don't change dosage until i get the LDN stuff under control)  Update 2023-10-21: I tried stopping it for two days, then using it earlier in the day, and i think that worked pretty well so i will keep doing that. so this is basically in progress/done.</t>
  </si>
  <si>
    <t>find and/or write up the exact kinds of swallowing difficulty i experience. make a phenomenological report of it. people are way too imprecise, and i can do better.</t>
  </si>
  <si>
    <t>try new meat from deli at QFC (ended up moving back home before getting to this)</t>
  </si>
  <si>
    <t>drink smoothie 2x in a week (november 3rd and 4th 2023)</t>
  </si>
  <si>
    <t>start back up on digestive enzymes</t>
  </si>
  <si>
    <r>
      <rPr/>
      <t xml:space="preserve">get flu shot. schedule at </t>
    </r>
    <r>
      <rPr>
        <color rgb="FF1155CC"/>
        <u/>
      </rPr>
      <t>https://www.safeway.com/vaccinations/home</t>
    </r>
    <r>
      <rPr/>
      <t xml:space="preserve">  I think this is pretty important to get sooner rather than later. But the hard thing is how to balance this with all the LDN, cromolyn, nystatin, whatever else going on.</t>
    </r>
  </si>
  <si>
    <t>start on cromolyn</t>
  </si>
  <si>
    <t>get Immune book from Wanderlust "Hi, this is Debbie from Wunderlist book Lounge. I'm calling to let you know the book you requested is ready to be picked up. We are here Wednesday through Saturday, 11:00 to 6:00 and Sunday 12:00 to 5:00. Any questions, you can call us 425-205-9643. Thank you. "</t>
  </si>
  <si>
    <t>datetime</t>
  </si>
  <si>
    <t>cognitive_state</t>
  </si>
  <si>
    <t>physical_state</t>
  </si>
  <si>
    <t>help_present</t>
  </si>
  <si>
    <t>current cognitive state:</t>
  </si>
  <si>
    <t>current physical state:</t>
  </si>
  <si>
    <t>current help presence:</t>
  </si>
  <si>
    <t>Show blocked tasks?</t>
  </si>
  <si>
    <t>old query: =QUERY('Tasks pile'!A3:K, "select A, B, F, G, H, I, J, K where B is not null and C &gt;= '"&amp;INDEX('Cognitive and physical state'!B:B,COUNTA('Cognitive and physical state'!B:B) + 1,1)&amp;"' and D &gt;= '"&amp;INDEX('Cognitive and physical state'!C:C,COUNTA('Cognitive and physical state'!C:C) + 1,1)&amp;"' and NOT (F = TRUE and "&amp;INDEX('Cognitive and physical state'!E:E, COUNTA('Cognitive and physical state'!E:E), 1)&amp;" = FALSE) and NOT (G = TRUE and "&amp;INDEX('Cognitive and physical state'!F:F, COUNTA('Cognitive and physical state'!E:E), 1)&amp;" = FALSE) and NOT (H = TRUE and "&amp;INDEX('Cognitive and physical state'!G:G, COUNTA('Cognitive and physical state'!G:G), 1)&amp;" = FALSE) and NOT (I = TRUE and "&amp;INDEX('Cognitive and physical state'!H:H, COUNTA('Cognitive and physical state'!H:H), 1)&amp;" = FALSE) and NOT (J = TRUE and "&amp;INDEX('Cognitive and physical state'!I:I, COUNTA('Cognitive and physical state'!I:I), 1)&amp;" = FALSE) and NOT (K = TRUE and "&amp;INDEX('Cognitive and physical state'!J:J, COUNTA('Cognitive and physical state'!J:J), 1)&amp;" = FALSE) order by B desc")</t>
  </si>
  <si>
    <t>Tasks I am capable of doing:</t>
  </si>
  <si>
    <t>Importance</t>
  </si>
  <si>
    <t>Chantal's help required?</t>
  </si>
  <si>
    <t>In person</t>
  </si>
  <si>
    <t>Task</t>
  </si>
  <si>
    <t>Hit column</t>
  </si>
  <si>
    <t>Cognition spoons</t>
  </si>
  <si>
    <t>Physical spoons</t>
  </si>
  <si>
    <t>cooking</t>
  </si>
  <si>
    <t>(Cog:A, Phys:C -&gt; -1, -10; Cog:A, Phys:B, -&gt; -1, -5)</t>
  </si>
  <si>
    <t>math 1 hour</t>
  </si>
  <si>
    <t>(Cog:A, Phys:C -&gt; -10, -10; Cog:C, Phys:B, -&gt; -100, -5)</t>
  </si>
  <si>
    <t>make 2 phone calls</t>
  </si>
  <si>
    <t>Constraints</t>
  </si>
  <si>
    <t>make jokes</t>
  </si>
  <si>
    <t>(Cog:A, Phys:C -&gt; 2, 5; Cog:C, Phys:B, -&gt; 5, 10)</t>
  </si>
  <si>
    <t>1. Don't run out of physical or cognition spoons</t>
  </si>
  <si>
    <t>Goal</t>
  </si>
  <si>
    <t>1. maximize total importance scores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</si>
</sst>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11">
    <font>
      <sz val="10.0"/>
      <color rgb="FF000000"/>
      <name val="Arial"/>
      <scheme val="minor"/>
    </font>
    <font>
      <color theme="1"/>
      <name val="Arial"/>
      <scheme val="minor"/>
    </font>
    <font/>
    <font>
      <color rgb="FF000000"/>
      <name val="&quot;Arial&quot;"/>
    </font>
    <font>
      <u/>
      <color rgb="FF0000FF"/>
    </font>
    <font>
      <u/>
      <color rgb="FF0000FF"/>
    </font>
    <font>
      <sz val="10.0"/>
      <color theme="1"/>
      <name val="Arial"/>
      <scheme val="minor"/>
    </font>
    <font>
      <b/>
      <color rgb="FF000000"/>
      <name val="&quot;Arial&quot;"/>
    </font>
    <font>
      <b/>
      <color theme="1"/>
      <name val="Arial"/>
      <scheme val="minor"/>
    </font>
    <font>
      <sz val="9.0"/>
      <color rgb="FFF7981D"/>
      <name val="Arial"/>
      <scheme val="minor"/>
    </font>
    <font>
      <sz val="9.0"/>
      <color rgb="FF000000"/>
      <name val="&quot;Google Sans Mono&quot;"/>
    </font>
  </fonts>
  <fills count="4">
    <fill>
      <patternFill patternType="none"/>
    </fill>
    <fill>
      <patternFill patternType="lightGray"/>
    </fill>
    <fill>
      <patternFill patternType="solid">
        <fgColor rgb="FFF4CCCC"/>
        <bgColor rgb="FFF4CCCC"/>
      </patternFill>
    </fill>
    <fill>
      <patternFill patternType="solid">
        <fgColor rgb="FFFFFFFF"/>
        <bgColor rgb="FFFFFFFF"/>
      </patternFill>
    </fill>
  </fills>
  <borders count="8">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2" fillId="0" fontId="1" numFmtId="0" xfId="0" applyAlignment="1" applyBorder="1" applyFont="1">
      <alignment readingOrder="0"/>
    </xf>
    <xf borderId="3" fillId="0" fontId="2" numFmtId="0" xfId="0" applyBorder="1" applyFont="1"/>
    <xf borderId="4" fillId="0" fontId="2" numFmtId="0" xfId="0" applyBorder="1" applyFont="1"/>
    <xf borderId="0" fillId="0" fontId="1" numFmtId="0" xfId="0" applyAlignment="1" applyFont="1">
      <alignment readingOrder="0"/>
    </xf>
    <xf borderId="0" fillId="0" fontId="1" numFmtId="0" xfId="0" applyAlignment="1" applyFont="1">
      <alignment readingOrder="0" shrinkToFit="0" wrapText="1"/>
    </xf>
    <xf borderId="0" fillId="0" fontId="1" numFmtId="14" xfId="0" applyAlignment="1" applyFont="1" applyNumberFormat="1">
      <alignment readingOrder="0"/>
    </xf>
    <xf borderId="0" fillId="0" fontId="3" numFmtId="164" xfId="0" applyAlignment="1" applyFont="1" applyNumberFormat="1">
      <alignment readingOrder="0"/>
    </xf>
    <xf borderId="0" fillId="0" fontId="1" numFmtId="0" xfId="0" applyFont="1"/>
    <xf borderId="0" fillId="0" fontId="4" numFmtId="0" xfId="0" applyAlignment="1" applyFont="1">
      <alignment readingOrder="0" shrinkToFit="0" wrapText="1"/>
    </xf>
    <xf borderId="0" fillId="0" fontId="1" numFmtId="0" xfId="0" applyAlignment="1" applyFont="1">
      <alignment readingOrder="0" shrinkToFit="0" wrapText="1"/>
    </xf>
    <xf borderId="0" fillId="2" fontId="5" numFmtId="0" xfId="0" applyAlignment="1" applyFill="1" applyFont="1">
      <alignment readingOrder="0" shrinkToFit="0" wrapText="1"/>
    </xf>
    <xf borderId="0" fillId="2" fontId="1" numFmtId="0" xfId="0" applyAlignment="1" applyFont="1">
      <alignment readingOrder="0" shrinkToFit="0" wrapText="1"/>
    </xf>
    <xf borderId="0" fillId="0" fontId="1" numFmtId="0" xfId="0" applyAlignment="1" applyFont="1">
      <alignment shrinkToFit="0" wrapText="1"/>
    </xf>
    <xf borderId="5" fillId="0" fontId="1" numFmtId="0" xfId="0" applyAlignment="1" applyBorder="1" applyFont="1">
      <alignment readingOrder="0"/>
    </xf>
    <xf borderId="6" fillId="0" fontId="2" numFmtId="0" xfId="0" applyBorder="1" applyFont="1"/>
    <xf borderId="0" fillId="0" fontId="1" numFmtId="165" xfId="0" applyAlignment="1" applyFont="1" applyNumberFormat="1">
      <alignment readingOrder="0"/>
    </xf>
    <xf borderId="7" fillId="0" fontId="1" numFmtId="0" xfId="0" applyAlignment="1" applyBorder="1" applyFont="1">
      <alignment readingOrder="0" shrinkToFit="0" wrapText="1"/>
    </xf>
    <xf borderId="7" fillId="0" fontId="1" numFmtId="0" xfId="0" applyAlignment="1" applyBorder="1" applyFont="1">
      <alignment readingOrder="0" shrinkToFit="0" wrapText="1"/>
    </xf>
    <xf borderId="0" fillId="0" fontId="6" numFmtId="0" xfId="0" applyFont="1"/>
    <xf borderId="5" fillId="0" fontId="7" numFmtId="0" xfId="0" applyAlignment="1" applyBorder="1" applyFont="1">
      <alignment readingOrder="0" shrinkToFit="0" wrapText="1"/>
    </xf>
    <xf borderId="5" fillId="0" fontId="8" numFmtId="0" xfId="0" applyAlignment="1" applyBorder="1" applyFont="1">
      <alignment readingOrder="0"/>
    </xf>
    <xf borderId="7" fillId="0" fontId="8" numFmtId="0" xfId="0" applyAlignment="1" applyBorder="1" applyFont="1">
      <alignment readingOrder="0" shrinkToFit="0" wrapText="1"/>
    </xf>
    <xf borderId="0" fillId="0" fontId="8" numFmtId="0" xfId="0" applyAlignment="1" applyFont="1">
      <alignment readingOrder="0"/>
    </xf>
    <xf borderId="7" fillId="0" fontId="8" numFmtId="0" xfId="0" applyAlignment="1" applyBorder="1" applyFont="1">
      <alignment readingOrder="0"/>
    </xf>
    <xf borderId="0" fillId="0" fontId="9" numFmtId="0" xfId="0" applyAlignment="1" applyFont="1">
      <alignment readingOrder="0"/>
    </xf>
    <xf borderId="0" fillId="3" fontId="10"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iles.issarice.com/breath.html" TargetMode="External"/><Relationship Id="rId3" Type="http://schemas.openxmlformats.org/officeDocument/2006/relationships/hyperlink" Target="https://youtu.be/8cSDYx7UoBY?si=6dTBR0PKiOtxw7De" TargetMode="External"/><Relationship Id="rId4" Type="http://schemas.openxmlformats.org/officeDocument/2006/relationships/hyperlink" Target="https://docs.google.com/spreadsheets/d/1n5ztTZ0gsqsOnZAjknwY6Sgeq8jkpE58GPBdypTJ6Mk/edit"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www.reddit.com/r/GERD/comments/se751x/if_you_havent_already_i_recommend_getting_your/" TargetMode="External"/><Relationship Id="rId5" Type="http://schemas.openxmlformats.org/officeDocument/2006/relationships/hyperlink" Target="https://twitter.com/jenbrea" TargetMode="External"/><Relationship Id="rId6" Type="http://schemas.openxmlformats.org/officeDocument/2006/relationships/hyperlink" Target="https://www.youtube.com/watch?v=A3Nz1he24O8&amp;pp=ygUfc2xlZXAgYXBuZWEgY2VudHJhbCBvYnN0cnVjdGl2ZQ%3D%3D" TargetMode="External"/><Relationship Id="rId7" Type="http://schemas.openxmlformats.org/officeDocument/2006/relationships/hyperlink" Target="https://www.youtube.com/watch?v=TZNhxYcYbjU" TargetMode="External"/><Relationship Id="rId8" Type="http://schemas.openxmlformats.org/officeDocument/2006/relationships/hyperlink" Target="https://www.youtube.com/watch?v=iTN5VDldq2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google.com/search?q=site%3Areddit.com+mcas+allergy+shots" TargetMode="External"/><Relationship Id="rId2" Type="http://schemas.openxmlformats.org/officeDocument/2006/relationships/hyperlink" Target="https://www.hca.wa.gov/assets/free-or-low-cost/changes-apple-health-continued-coverage.pdf" TargetMode="External"/><Relationship Id="rId3" Type="http://schemas.openxmlformats.org/officeDocument/2006/relationships/hyperlink" Target="https://www.youtube.com/watch?v=CE5FhpJKO6U" TargetMode="External"/><Relationship Id="rId4" Type="http://schemas.openxmlformats.org/officeDocument/2006/relationships/hyperlink" Target="https://www.youtube.com/watch?v=cU4ls5ku4Rg" TargetMode="External"/><Relationship Id="rId5" Type="http://schemas.openxmlformats.org/officeDocument/2006/relationships/hyperlink" Target="https://roamresearch.com/" TargetMode="External"/><Relationship Id="rId6" Type="http://schemas.openxmlformats.org/officeDocument/2006/relationships/hyperlink" Target="https://www.explorewithjeff.com/" TargetMode="External"/><Relationship Id="rId7" Type="http://schemas.openxmlformats.org/officeDocument/2006/relationships/hyperlink" Target="https://www.safeway.com/vaccinations/home"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5.88"/>
    <col customWidth="1" min="2" max="2" width="9.0"/>
    <col customWidth="1" min="3" max="3" width="6.13"/>
    <col customWidth="1" min="4" max="4" width="5.75"/>
    <col customWidth="1" min="5" max="5" width="10.63"/>
    <col customWidth="1" min="6" max="6" width="6.75"/>
  </cols>
  <sheetData>
    <row r="1">
      <c r="A1" s="1" t="s">
        <v>0</v>
      </c>
      <c r="B1" s="2" t="s">
        <v>1</v>
      </c>
      <c r="C1" s="2" t="s">
        <v>2</v>
      </c>
      <c r="D1" s="2" t="s">
        <v>3</v>
      </c>
      <c r="E1" s="2" t="s">
        <v>4</v>
      </c>
      <c r="F1" s="2" t="s">
        <v>5</v>
      </c>
    </row>
    <row r="2">
      <c r="A2" s="3"/>
      <c r="B2" s="4"/>
      <c r="C2" s="4"/>
      <c r="D2" s="4"/>
      <c r="E2" s="4"/>
      <c r="F2" s="4"/>
      <c r="G2" s="5" t="s">
        <v>6</v>
      </c>
    </row>
    <row r="3">
      <c r="A3" s="6" t="s">
        <v>7</v>
      </c>
      <c r="B3" s="5">
        <v>4.0</v>
      </c>
      <c r="C3" s="5" t="s">
        <v>8</v>
      </c>
      <c r="D3" s="5" t="s">
        <v>9</v>
      </c>
      <c r="E3" s="5">
        <v>0.0</v>
      </c>
      <c r="F3" s="5" t="b">
        <v>0</v>
      </c>
      <c r="G3" s="7">
        <v>45108.0</v>
      </c>
    </row>
    <row r="4">
      <c r="A4" s="6" t="s">
        <v>10</v>
      </c>
      <c r="B4" s="5">
        <v>0.0</v>
      </c>
      <c r="C4" s="5" t="s">
        <v>11</v>
      </c>
      <c r="D4" s="5" t="s">
        <v>11</v>
      </c>
      <c r="E4" s="5">
        <v>0.0</v>
      </c>
      <c r="F4" s="5" t="b">
        <v>0</v>
      </c>
      <c r="G4" s="7">
        <v>45108.0</v>
      </c>
    </row>
    <row r="5">
      <c r="A5" s="6" t="s">
        <v>12</v>
      </c>
      <c r="B5" s="5">
        <v>0.0</v>
      </c>
      <c r="C5" s="5" t="s">
        <v>9</v>
      </c>
      <c r="D5" s="5" t="s">
        <v>13</v>
      </c>
      <c r="E5" s="5">
        <v>0.0</v>
      </c>
      <c r="F5" s="5" t="b">
        <v>0</v>
      </c>
      <c r="G5" s="8">
        <v>45108.0</v>
      </c>
    </row>
    <row r="6">
      <c r="A6" s="6" t="s">
        <v>14</v>
      </c>
      <c r="B6" s="5">
        <v>7.0</v>
      </c>
      <c r="C6" s="5" t="s">
        <v>13</v>
      </c>
      <c r="D6" s="5" t="s">
        <v>13</v>
      </c>
      <c r="E6" s="5">
        <v>0.0</v>
      </c>
      <c r="F6" s="9" t="b">
        <v>0</v>
      </c>
      <c r="G6" s="7">
        <v>45189.0</v>
      </c>
    </row>
    <row r="7">
      <c r="A7" s="6" t="s">
        <v>15</v>
      </c>
      <c r="B7" s="5">
        <v>1.0</v>
      </c>
      <c r="C7" s="5" t="s">
        <v>9</v>
      </c>
      <c r="D7" s="5" t="s">
        <v>9</v>
      </c>
      <c r="E7" s="5">
        <v>0.0</v>
      </c>
      <c r="F7" s="9" t="b">
        <v>0</v>
      </c>
      <c r="G7" s="7">
        <v>45200.0</v>
      </c>
    </row>
    <row r="8">
      <c r="A8" s="6" t="s">
        <v>16</v>
      </c>
      <c r="B8" s="5">
        <v>5.0</v>
      </c>
      <c r="C8" s="5" t="s">
        <v>9</v>
      </c>
      <c r="D8" s="5" t="s">
        <v>9</v>
      </c>
      <c r="E8" s="5">
        <v>1.0</v>
      </c>
      <c r="F8" s="9" t="b">
        <v>0</v>
      </c>
      <c r="G8" s="7">
        <v>45209.0</v>
      </c>
    </row>
    <row r="9">
      <c r="A9" s="10" t="s">
        <v>17</v>
      </c>
      <c r="B9" s="5">
        <v>4.0</v>
      </c>
      <c r="C9" s="5" t="s">
        <v>9</v>
      </c>
      <c r="D9" s="5" t="s">
        <v>9</v>
      </c>
      <c r="E9" s="5">
        <v>1.0</v>
      </c>
      <c r="F9" s="9" t="b">
        <v>0</v>
      </c>
      <c r="G9" s="7">
        <v>45219.0</v>
      </c>
    </row>
    <row r="10">
      <c r="A10" s="6" t="s">
        <v>18</v>
      </c>
      <c r="B10" s="5">
        <v>3.0</v>
      </c>
      <c r="C10" s="5" t="s">
        <v>13</v>
      </c>
      <c r="D10" s="5" t="s">
        <v>9</v>
      </c>
      <c r="E10" s="5">
        <v>1.0</v>
      </c>
      <c r="F10" s="9" t="b">
        <v>0</v>
      </c>
      <c r="G10" s="7">
        <v>45221.0</v>
      </c>
    </row>
    <row r="11">
      <c r="A11" s="6" t="s">
        <v>19</v>
      </c>
      <c r="B11" s="5">
        <v>5.0</v>
      </c>
      <c r="C11" s="5" t="s">
        <v>9</v>
      </c>
      <c r="D11" s="5" t="s">
        <v>9</v>
      </c>
      <c r="E11" s="5">
        <v>0.0</v>
      </c>
      <c r="F11" s="9" t="b">
        <v>0</v>
      </c>
      <c r="G11" s="7">
        <v>45231.0</v>
      </c>
    </row>
    <row r="12">
      <c r="A12" s="6" t="s">
        <v>20</v>
      </c>
      <c r="B12" s="5">
        <v>5.0</v>
      </c>
      <c r="C12" s="5" t="s">
        <v>9</v>
      </c>
      <c r="D12" s="5" t="s">
        <v>9</v>
      </c>
      <c r="E12" s="5">
        <v>0.0</v>
      </c>
      <c r="F12" s="9" t="b">
        <v>0</v>
      </c>
      <c r="G12" s="7">
        <v>45231.0</v>
      </c>
    </row>
    <row r="13">
      <c r="A13" s="6" t="s">
        <v>21</v>
      </c>
      <c r="B13" s="5">
        <v>3.0</v>
      </c>
      <c r="C13" s="5" t="s">
        <v>9</v>
      </c>
      <c r="D13" s="5" t="s">
        <v>9</v>
      </c>
      <c r="E13" s="5">
        <v>0.0</v>
      </c>
      <c r="F13" s="5" t="b">
        <v>0</v>
      </c>
      <c r="G13" s="7">
        <v>45239.0</v>
      </c>
    </row>
    <row r="14">
      <c r="A14" s="11" t="s">
        <v>22</v>
      </c>
      <c r="B14" s="5">
        <v>6.0</v>
      </c>
      <c r="C14" s="5" t="s">
        <v>13</v>
      </c>
      <c r="D14" s="5" t="s">
        <v>9</v>
      </c>
      <c r="E14" s="5">
        <v>1.0</v>
      </c>
      <c r="F14" s="9" t="b">
        <v>0</v>
      </c>
      <c r="G14" s="7">
        <v>45241.0</v>
      </c>
    </row>
    <row r="15">
      <c r="A15" s="11" t="s">
        <v>23</v>
      </c>
      <c r="B15" s="5">
        <v>4.0</v>
      </c>
      <c r="C15" s="5" t="s">
        <v>9</v>
      </c>
      <c r="D15" s="5" t="s">
        <v>9</v>
      </c>
      <c r="E15" s="5">
        <v>0.0</v>
      </c>
      <c r="F15" s="9" t="b">
        <v>0</v>
      </c>
      <c r="G15" s="7">
        <v>45241.0</v>
      </c>
    </row>
    <row r="16">
      <c r="A16" s="10" t="s">
        <v>24</v>
      </c>
      <c r="B16" s="5">
        <v>2.0</v>
      </c>
      <c r="C16" s="5" t="s">
        <v>9</v>
      </c>
      <c r="D16" s="5" t="s">
        <v>9</v>
      </c>
      <c r="E16" s="5">
        <v>1.0</v>
      </c>
      <c r="F16" s="9" t="b">
        <v>0</v>
      </c>
      <c r="G16" s="7">
        <v>45241.0</v>
      </c>
    </row>
    <row r="17">
      <c r="A17" s="11" t="s">
        <v>25</v>
      </c>
      <c r="B17" s="5">
        <v>8.0</v>
      </c>
      <c r="C17" s="5" t="s">
        <v>13</v>
      </c>
      <c r="D17" s="5" t="s">
        <v>9</v>
      </c>
      <c r="E17" s="5">
        <v>1.0</v>
      </c>
      <c r="F17" s="9" t="b">
        <v>0</v>
      </c>
      <c r="G17" s="7">
        <v>45244.0</v>
      </c>
    </row>
    <row r="18">
      <c r="A18" s="11" t="s">
        <v>26</v>
      </c>
      <c r="B18" s="5">
        <v>8.0</v>
      </c>
      <c r="C18" s="5" t="s">
        <v>13</v>
      </c>
      <c r="D18" s="5" t="s">
        <v>9</v>
      </c>
      <c r="E18" s="5">
        <v>1.0</v>
      </c>
      <c r="F18" s="9" t="b">
        <v>0</v>
      </c>
      <c r="G18" s="7">
        <v>45244.0</v>
      </c>
    </row>
    <row r="19">
      <c r="A19" s="6" t="s">
        <v>27</v>
      </c>
      <c r="B19" s="5">
        <v>8.0</v>
      </c>
      <c r="C19" s="5" t="s">
        <v>9</v>
      </c>
      <c r="D19" s="5" t="s">
        <v>9</v>
      </c>
      <c r="E19" s="5">
        <v>1.0</v>
      </c>
      <c r="F19" s="9" t="b">
        <v>0</v>
      </c>
      <c r="G19" s="7">
        <v>45248.0</v>
      </c>
    </row>
    <row r="20">
      <c r="A20" s="6" t="s">
        <v>28</v>
      </c>
      <c r="B20" s="5">
        <v>7.0</v>
      </c>
      <c r="C20" s="5" t="s">
        <v>9</v>
      </c>
      <c r="D20" s="5" t="s">
        <v>9</v>
      </c>
      <c r="E20" s="5">
        <v>1.0</v>
      </c>
      <c r="F20" s="9" t="b">
        <v>0</v>
      </c>
      <c r="G20" s="7">
        <v>45248.0</v>
      </c>
    </row>
    <row r="21">
      <c r="A21" s="6" t="s">
        <v>29</v>
      </c>
      <c r="B21" s="5">
        <v>6.0</v>
      </c>
      <c r="C21" s="5" t="s">
        <v>13</v>
      </c>
      <c r="D21" s="5" t="s">
        <v>9</v>
      </c>
      <c r="E21" s="5">
        <v>1.0</v>
      </c>
      <c r="F21" s="9" t="b">
        <v>0</v>
      </c>
      <c r="G21" s="7">
        <v>45249.0</v>
      </c>
    </row>
    <row r="22">
      <c r="A22" s="6" t="s">
        <v>30</v>
      </c>
      <c r="B22" s="5">
        <v>4.0</v>
      </c>
      <c r="C22" s="5" t="s">
        <v>9</v>
      </c>
      <c r="D22" s="5" t="s">
        <v>9</v>
      </c>
      <c r="E22" s="5">
        <v>1.0</v>
      </c>
      <c r="F22" s="9" t="b">
        <v>0</v>
      </c>
      <c r="G22" s="7">
        <v>45249.0</v>
      </c>
    </row>
    <row r="23">
      <c r="A23" s="6" t="s">
        <v>31</v>
      </c>
      <c r="B23" s="5">
        <v>4.0</v>
      </c>
      <c r="C23" s="5" t="s">
        <v>9</v>
      </c>
      <c r="D23" s="5" t="s">
        <v>9</v>
      </c>
      <c r="E23" s="5">
        <v>1.0</v>
      </c>
      <c r="F23" s="9" t="b">
        <v>0</v>
      </c>
      <c r="G23" s="7">
        <v>45249.0</v>
      </c>
    </row>
    <row r="24">
      <c r="A24" s="6" t="s">
        <v>32</v>
      </c>
      <c r="B24" s="5">
        <v>6.0</v>
      </c>
      <c r="C24" s="5" t="s">
        <v>9</v>
      </c>
      <c r="D24" s="5" t="s">
        <v>13</v>
      </c>
      <c r="E24" s="5">
        <v>0.0</v>
      </c>
      <c r="F24" s="9" t="b">
        <v>0</v>
      </c>
      <c r="G24" s="7">
        <v>45250.0</v>
      </c>
    </row>
    <row r="25">
      <c r="A25" s="6" t="s">
        <v>33</v>
      </c>
      <c r="B25" s="5">
        <v>5.0</v>
      </c>
      <c r="C25" s="5" t="s">
        <v>9</v>
      </c>
      <c r="D25" s="5" t="s">
        <v>9</v>
      </c>
      <c r="E25" s="5">
        <v>1.0</v>
      </c>
      <c r="F25" s="9" t="b">
        <v>0</v>
      </c>
      <c r="G25" s="7">
        <v>45250.0</v>
      </c>
    </row>
    <row r="26">
      <c r="A26" s="6" t="s">
        <v>34</v>
      </c>
      <c r="B26" s="5">
        <v>2.0</v>
      </c>
      <c r="C26" s="5" t="s">
        <v>9</v>
      </c>
      <c r="D26" s="5" t="s">
        <v>9</v>
      </c>
      <c r="E26" s="5">
        <v>0.0</v>
      </c>
      <c r="F26" s="9" t="b">
        <v>0</v>
      </c>
      <c r="G26" s="7">
        <v>45250.0</v>
      </c>
    </row>
    <row r="27">
      <c r="A27" s="6" t="s">
        <v>35</v>
      </c>
      <c r="B27" s="5">
        <v>3.0</v>
      </c>
      <c r="C27" s="5" t="s">
        <v>13</v>
      </c>
      <c r="D27" s="5" t="s">
        <v>9</v>
      </c>
      <c r="E27" s="5">
        <v>0.0</v>
      </c>
      <c r="F27" s="9" t="b">
        <v>0</v>
      </c>
      <c r="G27" s="7">
        <v>45253.0</v>
      </c>
    </row>
    <row r="28">
      <c r="A28" s="6" t="s">
        <v>36</v>
      </c>
      <c r="B28" s="5">
        <v>6.0</v>
      </c>
      <c r="C28" s="5" t="s">
        <v>9</v>
      </c>
      <c r="D28" s="5" t="s">
        <v>9</v>
      </c>
      <c r="E28" s="5">
        <v>0.0</v>
      </c>
      <c r="F28" s="9" t="b">
        <v>0</v>
      </c>
      <c r="G28" s="7">
        <v>45253.0</v>
      </c>
    </row>
    <row r="29">
      <c r="A29" s="11" t="s">
        <v>37</v>
      </c>
      <c r="B29" s="5">
        <v>10.0</v>
      </c>
      <c r="C29" s="5" t="s">
        <v>9</v>
      </c>
      <c r="D29" s="5" t="s">
        <v>13</v>
      </c>
      <c r="E29" s="5">
        <v>1.0</v>
      </c>
      <c r="F29" s="9" t="b">
        <v>0</v>
      </c>
    </row>
    <row r="30">
      <c r="A30" s="11" t="s">
        <v>38</v>
      </c>
      <c r="B30" s="5">
        <v>9.0</v>
      </c>
      <c r="C30" s="5" t="s">
        <v>9</v>
      </c>
      <c r="D30" s="5" t="s">
        <v>8</v>
      </c>
      <c r="E30" s="5">
        <v>1.0</v>
      </c>
      <c r="F30" s="5" t="b">
        <v>0</v>
      </c>
    </row>
    <row r="31">
      <c r="A31" s="6" t="s">
        <v>39</v>
      </c>
      <c r="B31" s="5">
        <v>9.0</v>
      </c>
      <c r="C31" s="5" t="s">
        <v>9</v>
      </c>
      <c r="D31" s="5" t="s">
        <v>9</v>
      </c>
      <c r="E31" s="5">
        <v>1.0</v>
      </c>
      <c r="F31" s="5" t="b">
        <v>0</v>
      </c>
    </row>
    <row r="32">
      <c r="A32" s="6" t="s">
        <v>40</v>
      </c>
      <c r="B32" s="5">
        <v>9.0</v>
      </c>
      <c r="C32" s="5" t="s">
        <v>9</v>
      </c>
      <c r="D32" s="5" t="s">
        <v>13</v>
      </c>
      <c r="E32" s="5">
        <v>1.0</v>
      </c>
      <c r="F32" s="5" t="b">
        <v>0</v>
      </c>
    </row>
    <row r="33">
      <c r="A33" s="6" t="s">
        <v>41</v>
      </c>
      <c r="B33" s="5">
        <v>9.0</v>
      </c>
      <c r="C33" s="5" t="s">
        <v>9</v>
      </c>
      <c r="D33" s="5" t="s">
        <v>9</v>
      </c>
      <c r="E33" s="5">
        <v>1.0</v>
      </c>
      <c r="F33" s="9" t="b">
        <v>0</v>
      </c>
    </row>
    <row r="34">
      <c r="A34" s="6" t="s">
        <v>42</v>
      </c>
      <c r="B34" s="5">
        <v>9.0</v>
      </c>
      <c r="C34" s="5" t="s">
        <v>9</v>
      </c>
      <c r="D34" s="5" t="s">
        <v>9</v>
      </c>
      <c r="E34" s="5">
        <v>1.0</v>
      </c>
      <c r="F34" s="5" t="b">
        <v>0</v>
      </c>
    </row>
    <row r="35">
      <c r="A35" s="12" t="s">
        <v>43</v>
      </c>
      <c r="B35" s="5">
        <v>8.0</v>
      </c>
      <c r="C35" s="5" t="s">
        <v>13</v>
      </c>
      <c r="D35" s="5" t="s">
        <v>9</v>
      </c>
      <c r="E35" s="5">
        <v>0.0</v>
      </c>
      <c r="F35" s="5" t="b">
        <v>0</v>
      </c>
    </row>
    <row r="36">
      <c r="A36" s="13" t="s">
        <v>44</v>
      </c>
      <c r="B36" s="5">
        <v>8.0</v>
      </c>
      <c r="C36" s="5" t="s">
        <v>9</v>
      </c>
      <c r="D36" s="5" t="s">
        <v>9</v>
      </c>
      <c r="E36" s="5">
        <v>0.0</v>
      </c>
      <c r="F36" s="9" t="b">
        <v>0</v>
      </c>
    </row>
    <row r="37">
      <c r="A37" s="6" t="s">
        <v>45</v>
      </c>
      <c r="B37" s="5">
        <v>8.0</v>
      </c>
      <c r="C37" s="5" t="s">
        <v>13</v>
      </c>
      <c r="D37" s="5" t="s">
        <v>9</v>
      </c>
      <c r="E37" s="5">
        <v>0.0</v>
      </c>
      <c r="F37" s="9" t="b">
        <v>0</v>
      </c>
    </row>
    <row r="38">
      <c r="A38" s="6" t="s">
        <v>46</v>
      </c>
      <c r="B38" s="5">
        <v>8.0</v>
      </c>
      <c r="C38" s="5" t="s">
        <v>8</v>
      </c>
      <c r="D38" s="5" t="s">
        <v>9</v>
      </c>
      <c r="E38" s="5">
        <v>0.0</v>
      </c>
      <c r="F38" s="5" t="b">
        <v>0</v>
      </c>
    </row>
    <row r="39">
      <c r="A39" s="6" t="s">
        <v>47</v>
      </c>
      <c r="B39" s="5">
        <v>8.0</v>
      </c>
      <c r="C39" s="5" t="s">
        <v>9</v>
      </c>
      <c r="D39" s="5" t="s">
        <v>9</v>
      </c>
      <c r="E39" s="5">
        <v>0.0</v>
      </c>
      <c r="F39" s="9" t="b">
        <v>0</v>
      </c>
    </row>
    <row r="40">
      <c r="A40" s="6" t="s">
        <v>48</v>
      </c>
      <c r="B40" s="5">
        <v>7.0</v>
      </c>
      <c r="C40" s="5" t="s">
        <v>13</v>
      </c>
      <c r="D40" s="5" t="s">
        <v>9</v>
      </c>
      <c r="E40" s="5">
        <v>0.0</v>
      </c>
      <c r="F40" s="9" t="b">
        <v>0</v>
      </c>
    </row>
    <row r="41">
      <c r="A41" s="6" t="s">
        <v>49</v>
      </c>
      <c r="B41" s="5">
        <v>7.0</v>
      </c>
      <c r="C41" s="5" t="s">
        <v>8</v>
      </c>
      <c r="D41" s="5" t="s">
        <v>9</v>
      </c>
      <c r="E41" s="5">
        <v>0.0</v>
      </c>
      <c r="F41" s="9" t="b">
        <v>0</v>
      </c>
    </row>
    <row r="42">
      <c r="A42" s="6" t="s">
        <v>50</v>
      </c>
      <c r="B42" s="5">
        <v>7.0</v>
      </c>
      <c r="C42" s="5" t="s">
        <v>9</v>
      </c>
      <c r="D42" s="5" t="s">
        <v>13</v>
      </c>
      <c r="E42" s="5">
        <v>0.0</v>
      </c>
      <c r="F42" s="9" t="b">
        <v>0</v>
      </c>
    </row>
    <row r="43">
      <c r="A43" s="6" t="s">
        <v>50</v>
      </c>
      <c r="B43" s="5">
        <v>7.0</v>
      </c>
      <c r="C43" s="5" t="s">
        <v>9</v>
      </c>
      <c r="D43" s="5" t="s">
        <v>13</v>
      </c>
      <c r="E43" s="5">
        <v>0.0</v>
      </c>
      <c r="F43" s="9" t="b">
        <v>0</v>
      </c>
    </row>
    <row r="44">
      <c r="A44" s="6" t="s">
        <v>51</v>
      </c>
      <c r="B44" s="5">
        <v>7.0</v>
      </c>
      <c r="C44" s="5" t="s">
        <v>9</v>
      </c>
      <c r="D44" s="5" t="s">
        <v>13</v>
      </c>
      <c r="E44" s="5">
        <v>0.0</v>
      </c>
      <c r="F44" s="9" t="b">
        <v>0</v>
      </c>
    </row>
    <row r="45">
      <c r="A45" s="6" t="s">
        <v>51</v>
      </c>
      <c r="B45" s="5">
        <v>7.0</v>
      </c>
      <c r="C45" s="5" t="s">
        <v>9</v>
      </c>
      <c r="D45" s="5" t="s">
        <v>13</v>
      </c>
      <c r="E45" s="5">
        <v>0.0</v>
      </c>
      <c r="F45" s="9" t="b">
        <v>0</v>
      </c>
    </row>
    <row r="46">
      <c r="A46" s="11" t="s">
        <v>52</v>
      </c>
      <c r="B46" s="5">
        <v>7.0</v>
      </c>
      <c r="C46" s="5" t="s">
        <v>9</v>
      </c>
      <c r="D46" s="5" t="s">
        <v>9</v>
      </c>
      <c r="E46" s="5">
        <v>0.0</v>
      </c>
      <c r="F46" s="5" t="b">
        <v>1</v>
      </c>
    </row>
    <row r="47">
      <c r="A47" s="6" t="s">
        <v>53</v>
      </c>
      <c r="B47" s="5">
        <v>6.0</v>
      </c>
      <c r="C47" s="5" t="s">
        <v>13</v>
      </c>
      <c r="D47" s="5" t="s">
        <v>13</v>
      </c>
      <c r="E47" s="5">
        <v>0.0</v>
      </c>
      <c r="F47" s="5" t="b">
        <v>0</v>
      </c>
    </row>
    <row r="48">
      <c r="A48" s="6" t="s">
        <v>54</v>
      </c>
      <c r="B48" s="5">
        <v>6.0</v>
      </c>
      <c r="C48" s="5" t="s">
        <v>13</v>
      </c>
      <c r="D48" s="5" t="s">
        <v>13</v>
      </c>
      <c r="E48" s="5">
        <v>0.0</v>
      </c>
      <c r="F48" s="5" t="b">
        <v>0</v>
      </c>
    </row>
    <row r="49">
      <c r="A49" s="6" t="s">
        <v>55</v>
      </c>
      <c r="B49" s="5">
        <v>6.0</v>
      </c>
      <c r="C49" s="5" t="s">
        <v>9</v>
      </c>
      <c r="D49" s="5" t="s">
        <v>13</v>
      </c>
      <c r="E49" s="5">
        <v>0.0</v>
      </c>
      <c r="F49" s="5" t="b">
        <v>1</v>
      </c>
    </row>
    <row r="50">
      <c r="A50" s="6" t="s">
        <v>56</v>
      </c>
      <c r="B50" s="5">
        <v>6.0</v>
      </c>
      <c r="C50" s="5" t="s">
        <v>13</v>
      </c>
      <c r="D50" s="5" t="s">
        <v>9</v>
      </c>
      <c r="E50" s="5">
        <v>0.0</v>
      </c>
      <c r="F50" s="5" t="b">
        <v>0</v>
      </c>
    </row>
    <row r="51">
      <c r="A51" s="6" t="s">
        <v>57</v>
      </c>
      <c r="B51" s="5">
        <v>6.0</v>
      </c>
      <c r="C51" s="5" t="s">
        <v>9</v>
      </c>
      <c r="D51" s="5" t="s">
        <v>9</v>
      </c>
      <c r="E51" s="5">
        <v>0.0</v>
      </c>
      <c r="F51" s="9" t="b">
        <v>0</v>
      </c>
    </row>
    <row r="52">
      <c r="A52" s="6" t="s">
        <v>58</v>
      </c>
      <c r="B52" s="5">
        <v>6.0</v>
      </c>
      <c r="C52" s="5" t="s">
        <v>9</v>
      </c>
      <c r="D52" s="5" t="s">
        <v>9</v>
      </c>
      <c r="E52" s="5">
        <v>1.0</v>
      </c>
      <c r="F52" s="9" t="b">
        <v>0</v>
      </c>
    </row>
    <row r="53">
      <c r="A53" s="6" t="s">
        <v>59</v>
      </c>
      <c r="B53" s="5">
        <v>5.0</v>
      </c>
      <c r="C53" s="5" t="s">
        <v>13</v>
      </c>
      <c r="D53" s="5" t="s">
        <v>9</v>
      </c>
      <c r="E53" s="5">
        <v>0.0</v>
      </c>
      <c r="F53" s="9" t="b">
        <v>0</v>
      </c>
    </row>
    <row r="54">
      <c r="A54" s="6" t="s">
        <v>60</v>
      </c>
      <c r="B54" s="5">
        <v>5.0</v>
      </c>
      <c r="C54" s="5" t="s">
        <v>13</v>
      </c>
      <c r="D54" s="5" t="s">
        <v>13</v>
      </c>
      <c r="E54" s="5">
        <v>0.0</v>
      </c>
      <c r="F54" s="9" t="b">
        <v>0</v>
      </c>
    </row>
    <row r="55">
      <c r="A55" s="6" t="s">
        <v>61</v>
      </c>
      <c r="B55" s="5">
        <v>5.0</v>
      </c>
      <c r="C55" s="5" t="s">
        <v>13</v>
      </c>
      <c r="D55" s="5" t="s">
        <v>9</v>
      </c>
      <c r="E55" s="5">
        <v>0.0</v>
      </c>
      <c r="F55" s="9" t="b">
        <v>0</v>
      </c>
    </row>
    <row r="56">
      <c r="A56" s="6" t="s">
        <v>62</v>
      </c>
      <c r="B56" s="5">
        <v>5.0</v>
      </c>
      <c r="C56" s="5" t="s">
        <v>13</v>
      </c>
      <c r="D56" s="5" t="s">
        <v>9</v>
      </c>
      <c r="E56" s="5">
        <v>1.0</v>
      </c>
      <c r="F56" s="5" t="b">
        <v>1</v>
      </c>
    </row>
    <row r="57">
      <c r="A57" s="10" t="s">
        <v>63</v>
      </c>
      <c r="B57" s="5">
        <v>5.0</v>
      </c>
      <c r="C57" s="5" t="s">
        <v>13</v>
      </c>
      <c r="D57" s="5" t="s">
        <v>9</v>
      </c>
      <c r="E57" s="5">
        <v>0.0</v>
      </c>
      <c r="F57" s="5" t="b">
        <v>0</v>
      </c>
    </row>
    <row r="58">
      <c r="A58" s="6" t="s">
        <v>64</v>
      </c>
      <c r="B58" s="5">
        <v>5.0</v>
      </c>
      <c r="C58" s="5" t="s">
        <v>13</v>
      </c>
      <c r="D58" s="5" t="s">
        <v>9</v>
      </c>
      <c r="E58" s="5">
        <v>0.0</v>
      </c>
      <c r="F58" s="5" t="b">
        <v>1</v>
      </c>
    </row>
    <row r="59">
      <c r="A59" s="6" t="s">
        <v>65</v>
      </c>
      <c r="B59" s="5">
        <v>5.0</v>
      </c>
      <c r="C59" s="5" t="s">
        <v>9</v>
      </c>
      <c r="D59" s="5" t="s">
        <v>9</v>
      </c>
      <c r="E59" s="5">
        <v>1.0</v>
      </c>
      <c r="F59" s="5" t="b">
        <v>0</v>
      </c>
    </row>
    <row r="60">
      <c r="A60" s="6" t="s">
        <v>66</v>
      </c>
      <c r="B60" s="5">
        <v>5.0</v>
      </c>
      <c r="C60" s="5" t="s">
        <v>13</v>
      </c>
      <c r="D60" s="5" t="s">
        <v>9</v>
      </c>
      <c r="E60" s="5">
        <v>0.0</v>
      </c>
      <c r="F60" s="5" t="b">
        <v>0</v>
      </c>
    </row>
    <row r="61">
      <c r="A61" s="6" t="s">
        <v>67</v>
      </c>
      <c r="B61" s="5">
        <v>5.0</v>
      </c>
      <c r="C61" s="5" t="s">
        <v>9</v>
      </c>
      <c r="D61" s="5" t="s">
        <v>9</v>
      </c>
      <c r="E61" s="5">
        <v>1.0</v>
      </c>
      <c r="F61" s="9" t="b">
        <v>0</v>
      </c>
    </row>
    <row r="62">
      <c r="A62" s="10" t="s">
        <v>68</v>
      </c>
      <c r="B62" s="5">
        <v>5.0</v>
      </c>
      <c r="C62" s="5" t="s">
        <v>9</v>
      </c>
      <c r="D62" s="5" t="s">
        <v>9</v>
      </c>
      <c r="E62" s="5">
        <v>1.0</v>
      </c>
      <c r="F62" s="9" t="b">
        <v>0</v>
      </c>
    </row>
    <row r="63">
      <c r="A63" s="6" t="s">
        <v>69</v>
      </c>
      <c r="B63" s="5">
        <v>5.0</v>
      </c>
      <c r="C63" s="5" t="s">
        <v>9</v>
      </c>
      <c r="D63" s="5" t="s">
        <v>13</v>
      </c>
      <c r="E63" s="5">
        <v>0.0</v>
      </c>
      <c r="F63" s="9" t="b">
        <v>0</v>
      </c>
    </row>
    <row r="64">
      <c r="A64" s="6" t="s">
        <v>70</v>
      </c>
      <c r="B64" s="5">
        <v>4.0</v>
      </c>
      <c r="C64" s="5" t="s">
        <v>13</v>
      </c>
      <c r="D64" s="5" t="s">
        <v>9</v>
      </c>
      <c r="E64" s="5">
        <v>0.0</v>
      </c>
      <c r="F64" s="5" t="b">
        <v>0</v>
      </c>
    </row>
    <row r="65">
      <c r="A65" s="6" t="s">
        <v>71</v>
      </c>
      <c r="B65" s="5">
        <v>4.0</v>
      </c>
      <c r="C65" s="5" t="s">
        <v>13</v>
      </c>
      <c r="D65" s="5" t="s">
        <v>9</v>
      </c>
      <c r="E65" s="5">
        <v>0.0</v>
      </c>
      <c r="F65" s="5" t="b">
        <v>0</v>
      </c>
    </row>
    <row r="66">
      <c r="A66" s="6" t="s">
        <v>72</v>
      </c>
      <c r="B66" s="5">
        <v>4.0</v>
      </c>
      <c r="C66" s="5" t="s">
        <v>13</v>
      </c>
      <c r="D66" s="5" t="s">
        <v>9</v>
      </c>
      <c r="E66" s="5">
        <v>0.0</v>
      </c>
      <c r="F66" s="5" t="b">
        <v>0</v>
      </c>
    </row>
    <row r="67">
      <c r="A67" s="6" t="s">
        <v>73</v>
      </c>
      <c r="B67" s="5">
        <v>4.0</v>
      </c>
      <c r="C67" s="5" t="s">
        <v>13</v>
      </c>
      <c r="D67" s="5" t="s">
        <v>13</v>
      </c>
      <c r="E67" s="5">
        <v>1.0</v>
      </c>
      <c r="F67" s="5" t="b">
        <v>0</v>
      </c>
    </row>
    <row r="68">
      <c r="A68" s="6" t="s">
        <v>74</v>
      </c>
      <c r="B68" s="5">
        <v>4.0</v>
      </c>
      <c r="C68" s="5" t="s">
        <v>13</v>
      </c>
      <c r="D68" s="5" t="s">
        <v>9</v>
      </c>
      <c r="E68" s="5">
        <v>0.0</v>
      </c>
      <c r="F68" s="5" t="b">
        <v>0</v>
      </c>
    </row>
    <row r="69">
      <c r="A69" s="6" t="s">
        <v>75</v>
      </c>
      <c r="B69" s="5">
        <v>4.0</v>
      </c>
      <c r="C69" s="5" t="s">
        <v>9</v>
      </c>
      <c r="D69" s="5" t="s">
        <v>13</v>
      </c>
      <c r="E69" s="5">
        <v>0.0</v>
      </c>
      <c r="F69" s="9" t="b">
        <v>0</v>
      </c>
    </row>
    <row r="70">
      <c r="A70" s="10" t="s">
        <v>76</v>
      </c>
      <c r="B70" s="5">
        <v>4.0</v>
      </c>
      <c r="C70" s="5" t="s">
        <v>13</v>
      </c>
      <c r="D70" s="5" t="s">
        <v>9</v>
      </c>
      <c r="E70" s="5">
        <v>0.0</v>
      </c>
      <c r="F70" s="9" t="b">
        <v>0</v>
      </c>
    </row>
    <row r="71">
      <c r="A71" s="10" t="s">
        <v>77</v>
      </c>
      <c r="B71" s="5">
        <v>4.0</v>
      </c>
      <c r="C71" s="5" t="s">
        <v>13</v>
      </c>
      <c r="D71" s="5" t="s">
        <v>9</v>
      </c>
      <c r="E71" s="5">
        <v>1.0</v>
      </c>
      <c r="F71" s="9" t="b">
        <v>0</v>
      </c>
    </row>
    <row r="72">
      <c r="A72" s="6" t="s">
        <v>78</v>
      </c>
      <c r="B72" s="5">
        <v>3.0</v>
      </c>
      <c r="C72" s="5" t="s">
        <v>13</v>
      </c>
      <c r="D72" s="5" t="s">
        <v>9</v>
      </c>
      <c r="E72" s="5">
        <v>0.0</v>
      </c>
      <c r="F72" s="5" t="b">
        <v>0</v>
      </c>
    </row>
    <row r="73">
      <c r="A73" s="6" t="s">
        <v>79</v>
      </c>
      <c r="B73" s="5">
        <v>3.0</v>
      </c>
      <c r="C73" s="5" t="s">
        <v>13</v>
      </c>
      <c r="D73" s="5" t="s">
        <v>8</v>
      </c>
      <c r="E73" s="5">
        <v>0.0</v>
      </c>
      <c r="F73" s="5" t="b">
        <v>1</v>
      </c>
    </row>
    <row r="74">
      <c r="A74" s="6" t="s">
        <v>80</v>
      </c>
      <c r="B74" s="5">
        <v>3.0</v>
      </c>
      <c r="C74" s="5" t="s">
        <v>9</v>
      </c>
      <c r="D74" s="5" t="s">
        <v>13</v>
      </c>
      <c r="E74" s="5">
        <v>1.0</v>
      </c>
      <c r="F74" s="5" t="b">
        <v>0</v>
      </c>
    </row>
    <row r="75">
      <c r="A75" s="6" t="s">
        <v>81</v>
      </c>
      <c r="B75" s="5">
        <v>3.0</v>
      </c>
      <c r="C75" s="5" t="s">
        <v>13</v>
      </c>
      <c r="D75" s="5" t="s">
        <v>9</v>
      </c>
      <c r="E75" s="5">
        <v>0.0</v>
      </c>
      <c r="F75" s="9" t="b">
        <v>0</v>
      </c>
    </row>
    <row r="76">
      <c r="A76" s="6" t="s">
        <v>82</v>
      </c>
      <c r="B76" s="5">
        <v>3.0</v>
      </c>
      <c r="C76" s="5" t="s">
        <v>9</v>
      </c>
      <c r="D76" s="5" t="s">
        <v>13</v>
      </c>
      <c r="E76" s="5">
        <v>1.0</v>
      </c>
      <c r="F76" s="9" t="b">
        <v>0</v>
      </c>
    </row>
    <row r="77">
      <c r="A77" s="6" t="s">
        <v>83</v>
      </c>
      <c r="B77" s="5">
        <v>3.0</v>
      </c>
      <c r="C77" s="5" t="s">
        <v>9</v>
      </c>
      <c r="D77" s="5" t="s">
        <v>9</v>
      </c>
      <c r="E77" s="5">
        <v>0.0</v>
      </c>
      <c r="F77" s="9" t="b">
        <v>0</v>
      </c>
    </row>
    <row r="78">
      <c r="A78" s="6" t="s">
        <v>84</v>
      </c>
      <c r="B78" s="5">
        <v>3.0</v>
      </c>
      <c r="C78" s="5" t="s">
        <v>9</v>
      </c>
      <c r="D78" s="5" t="s">
        <v>9</v>
      </c>
      <c r="E78" s="5">
        <v>0.0</v>
      </c>
      <c r="F78" s="9" t="b">
        <v>0</v>
      </c>
    </row>
    <row r="79">
      <c r="A79" s="6" t="s">
        <v>85</v>
      </c>
      <c r="B79" s="5">
        <v>3.0</v>
      </c>
      <c r="C79" s="5" t="s">
        <v>9</v>
      </c>
      <c r="D79" s="5" t="s">
        <v>9</v>
      </c>
      <c r="E79" s="5">
        <v>1.0</v>
      </c>
      <c r="F79" s="9" t="b">
        <v>0</v>
      </c>
    </row>
    <row r="80">
      <c r="A80" s="6" t="s">
        <v>86</v>
      </c>
      <c r="B80" s="5">
        <v>3.0</v>
      </c>
      <c r="C80" s="5" t="s">
        <v>9</v>
      </c>
      <c r="D80" s="5" t="s">
        <v>9</v>
      </c>
      <c r="E80" s="5">
        <v>0.0</v>
      </c>
      <c r="F80" s="9" t="b">
        <v>0</v>
      </c>
    </row>
    <row r="81">
      <c r="A81" s="6" t="s">
        <v>87</v>
      </c>
      <c r="B81" s="5">
        <v>3.0</v>
      </c>
      <c r="C81" s="5" t="s">
        <v>9</v>
      </c>
      <c r="D81" s="5" t="s">
        <v>9</v>
      </c>
      <c r="E81" s="5">
        <v>0.0</v>
      </c>
      <c r="F81" s="9" t="b">
        <v>0</v>
      </c>
    </row>
    <row r="82">
      <c r="A82" s="6" t="s">
        <v>88</v>
      </c>
      <c r="B82" s="5">
        <v>2.0</v>
      </c>
      <c r="C82" s="5" t="s">
        <v>9</v>
      </c>
      <c r="D82" s="5" t="s">
        <v>9</v>
      </c>
      <c r="E82" s="5">
        <v>0.0</v>
      </c>
      <c r="F82" s="9" t="b">
        <v>0</v>
      </c>
    </row>
    <row r="83">
      <c r="A83" s="6" t="s">
        <v>89</v>
      </c>
      <c r="B83" s="5">
        <v>2.0</v>
      </c>
      <c r="C83" s="5" t="s">
        <v>9</v>
      </c>
      <c r="D83" s="5" t="s">
        <v>9</v>
      </c>
      <c r="E83" s="5">
        <v>0.0</v>
      </c>
      <c r="F83" s="5" t="b">
        <v>0</v>
      </c>
    </row>
    <row r="84">
      <c r="A84" s="6" t="s">
        <v>90</v>
      </c>
      <c r="B84" s="5">
        <v>2.0</v>
      </c>
      <c r="C84" s="5" t="s">
        <v>9</v>
      </c>
      <c r="D84" s="5" t="s">
        <v>9</v>
      </c>
      <c r="E84" s="5">
        <v>0.0</v>
      </c>
      <c r="F84" s="9" t="b">
        <v>0</v>
      </c>
    </row>
    <row r="85">
      <c r="A85" s="6" t="s">
        <v>91</v>
      </c>
      <c r="B85" s="5">
        <v>2.0</v>
      </c>
      <c r="C85" s="5" t="s">
        <v>9</v>
      </c>
      <c r="D85" s="5" t="s">
        <v>13</v>
      </c>
      <c r="E85" s="5">
        <v>1.0</v>
      </c>
      <c r="F85" s="9" t="b">
        <v>0</v>
      </c>
    </row>
    <row r="86">
      <c r="A86" s="6" t="s">
        <v>92</v>
      </c>
      <c r="B86" s="5">
        <v>2.0</v>
      </c>
      <c r="C86" s="5" t="s">
        <v>9</v>
      </c>
      <c r="D86" s="5" t="s">
        <v>9</v>
      </c>
      <c r="E86" s="5">
        <v>0.0</v>
      </c>
      <c r="F86" s="9" t="b">
        <v>0</v>
      </c>
    </row>
    <row r="87">
      <c r="A87" s="6" t="s">
        <v>93</v>
      </c>
      <c r="B87" s="5">
        <v>2.0</v>
      </c>
      <c r="C87" s="5" t="s">
        <v>9</v>
      </c>
      <c r="D87" s="5" t="s">
        <v>9</v>
      </c>
      <c r="E87" s="5">
        <v>1.0</v>
      </c>
      <c r="F87" s="9" t="b">
        <v>0</v>
      </c>
    </row>
    <row r="88">
      <c r="A88" s="6" t="s">
        <v>94</v>
      </c>
      <c r="B88" s="5">
        <v>2.0</v>
      </c>
      <c r="C88" s="5" t="s">
        <v>9</v>
      </c>
      <c r="D88" s="5" t="s">
        <v>9</v>
      </c>
      <c r="E88" s="5">
        <v>0.0</v>
      </c>
      <c r="F88" s="9" t="b">
        <v>0</v>
      </c>
    </row>
    <row r="89">
      <c r="A89" s="6" t="s">
        <v>95</v>
      </c>
      <c r="B89" s="5">
        <v>2.0</v>
      </c>
      <c r="C89" s="5" t="s">
        <v>13</v>
      </c>
      <c r="D89" s="5" t="s">
        <v>9</v>
      </c>
      <c r="E89" s="5">
        <v>1.0</v>
      </c>
      <c r="F89" s="9" t="b">
        <v>0</v>
      </c>
    </row>
    <row r="90">
      <c r="A90" s="6" t="s">
        <v>96</v>
      </c>
      <c r="B90" s="5">
        <v>1.0</v>
      </c>
      <c r="C90" s="5" t="s">
        <v>9</v>
      </c>
      <c r="D90" s="5" t="s">
        <v>9</v>
      </c>
      <c r="E90" s="5">
        <v>1.0</v>
      </c>
      <c r="F90" s="5" t="b">
        <v>0</v>
      </c>
    </row>
    <row r="91">
      <c r="A91" s="6" t="s">
        <v>96</v>
      </c>
      <c r="B91" s="5">
        <v>1.0</v>
      </c>
      <c r="C91" s="5" t="s">
        <v>9</v>
      </c>
      <c r="D91" s="5" t="s">
        <v>9</v>
      </c>
      <c r="E91" s="5">
        <v>1.0</v>
      </c>
      <c r="F91" s="5" t="b">
        <v>0</v>
      </c>
    </row>
    <row r="92">
      <c r="A92" s="6" t="s">
        <v>97</v>
      </c>
      <c r="B92" s="5">
        <v>1.0</v>
      </c>
      <c r="C92" s="5" t="s">
        <v>9</v>
      </c>
      <c r="D92" s="5" t="s">
        <v>9</v>
      </c>
      <c r="E92" s="5">
        <v>1.0</v>
      </c>
      <c r="F92" s="5" t="b">
        <v>0</v>
      </c>
    </row>
    <row r="93">
      <c r="A93" s="6" t="s">
        <v>97</v>
      </c>
      <c r="B93" s="5">
        <v>1.0</v>
      </c>
      <c r="C93" s="5" t="s">
        <v>9</v>
      </c>
      <c r="D93" s="5" t="s">
        <v>9</v>
      </c>
      <c r="E93" s="5">
        <v>1.0</v>
      </c>
      <c r="F93" s="5" t="b">
        <v>0</v>
      </c>
    </row>
    <row r="94">
      <c r="A94" s="6" t="s">
        <v>98</v>
      </c>
      <c r="B94" s="5">
        <v>1.0</v>
      </c>
      <c r="C94" s="5" t="s">
        <v>8</v>
      </c>
      <c r="D94" s="5" t="s">
        <v>9</v>
      </c>
      <c r="E94" s="5">
        <v>0.0</v>
      </c>
      <c r="F94" s="5" t="b">
        <v>0</v>
      </c>
    </row>
    <row r="95">
      <c r="A95" s="6" t="s">
        <v>99</v>
      </c>
      <c r="B95" s="5">
        <v>1.0</v>
      </c>
      <c r="C95" s="5" t="s">
        <v>8</v>
      </c>
      <c r="D95" s="5" t="s">
        <v>9</v>
      </c>
      <c r="E95" s="5">
        <v>0.0</v>
      </c>
      <c r="F95" s="5" t="b">
        <v>0</v>
      </c>
    </row>
    <row r="96">
      <c r="A96" s="6" t="s">
        <v>100</v>
      </c>
      <c r="B96" s="5">
        <v>1.0</v>
      </c>
      <c r="C96" s="5" t="s">
        <v>8</v>
      </c>
      <c r="D96" s="5" t="s">
        <v>9</v>
      </c>
      <c r="E96" s="5">
        <v>0.0</v>
      </c>
      <c r="F96" s="5" t="b">
        <v>0</v>
      </c>
    </row>
    <row r="97">
      <c r="A97" s="6" t="s">
        <v>101</v>
      </c>
      <c r="B97" s="5">
        <v>1.0</v>
      </c>
      <c r="C97" s="5" t="s">
        <v>13</v>
      </c>
      <c r="D97" s="5" t="s">
        <v>9</v>
      </c>
      <c r="E97" s="5">
        <v>0.0</v>
      </c>
      <c r="F97" s="5" t="b">
        <v>0</v>
      </c>
    </row>
    <row r="98">
      <c r="A98" s="6" t="s">
        <v>102</v>
      </c>
      <c r="B98" s="5">
        <v>1.0</v>
      </c>
      <c r="C98" s="5" t="s">
        <v>13</v>
      </c>
      <c r="D98" s="5" t="s">
        <v>9</v>
      </c>
      <c r="E98" s="5">
        <v>0.0</v>
      </c>
      <c r="F98" s="5" t="b">
        <v>0</v>
      </c>
    </row>
    <row r="99">
      <c r="A99" s="6" t="s">
        <v>103</v>
      </c>
      <c r="B99" s="5">
        <v>1.0</v>
      </c>
      <c r="C99" s="5" t="s">
        <v>11</v>
      </c>
      <c r="D99" s="5" t="s">
        <v>11</v>
      </c>
      <c r="E99" s="5">
        <v>0.0</v>
      </c>
      <c r="F99" s="5" t="b">
        <v>0</v>
      </c>
    </row>
    <row r="100">
      <c r="A100" s="6" t="s">
        <v>104</v>
      </c>
      <c r="B100" s="5">
        <v>1.0</v>
      </c>
      <c r="C100" s="5" t="s">
        <v>8</v>
      </c>
      <c r="D100" s="5" t="s">
        <v>9</v>
      </c>
      <c r="E100" s="5">
        <v>0.0</v>
      </c>
      <c r="F100" s="5" t="b">
        <v>0</v>
      </c>
    </row>
    <row r="101">
      <c r="A101" s="6" t="s">
        <v>105</v>
      </c>
      <c r="B101" s="5">
        <v>1.0</v>
      </c>
      <c r="C101" s="5" t="s">
        <v>9</v>
      </c>
      <c r="D101" s="5" t="s">
        <v>9</v>
      </c>
      <c r="E101" s="5">
        <v>0.0</v>
      </c>
      <c r="F101" s="9" t="b">
        <v>0</v>
      </c>
    </row>
    <row r="102">
      <c r="A102" s="6" t="s">
        <v>106</v>
      </c>
      <c r="B102" s="5">
        <v>1.0</v>
      </c>
      <c r="C102" s="5" t="s">
        <v>9</v>
      </c>
      <c r="D102" s="5" t="s">
        <v>9</v>
      </c>
      <c r="E102" s="5">
        <v>1.0</v>
      </c>
      <c r="F102" s="5" t="b">
        <v>1</v>
      </c>
    </row>
    <row r="103">
      <c r="A103" s="6" t="s">
        <v>107</v>
      </c>
      <c r="B103" s="5">
        <v>1.0</v>
      </c>
      <c r="C103" s="5" t="s">
        <v>9</v>
      </c>
      <c r="D103" s="5" t="s">
        <v>9</v>
      </c>
      <c r="E103" s="5">
        <v>0.0</v>
      </c>
      <c r="F103" s="9" t="b">
        <v>0</v>
      </c>
    </row>
    <row r="104">
      <c r="A104" s="6" t="s">
        <v>108</v>
      </c>
      <c r="B104" s="5">
        <v>0.0</v>
      </c>
      <c r="C104" s="5" t="s">
        <v>9</v>
      </c>
      <c r="D104" s="5" t="s">
        <v>13</v>
      </c>
      <c r="E104" s="5">
        <v>0.0</v>
      </c>
      <c r="F104" s="5" t="b">
        <v>0</v>
      </c>
    </row>
    <row r="105">
      <c r="A105" s="6" t="s">
        <v>109</v>
      </c>
      <c r="B105" s="5">
        <v>0.0</v>
      </c>
      <c r="C105" s="5" t="s">
        <v>11</v>
      </c>
      <c r="D105" s="5" t="s">
        <v>11</v>
      </c>
      <c r="E105" s="5">
        <v>0.0</v>
      </c>
      <c r="F105" s="5" t="b">
        <v>0</v>
      </c>
    </row>
    <row r="106">
      <c r="A106" s="10" t="s">
        <v>110</v>
      </c>
      <c r="F106" s="9" t="b">
        <v>0</v>
      </c>
      <c r="G106" s="7">
        <v>45254.0</v>
      </c>
    </row>
    <row r="107">
      <c r="A107" s="6" t="s">
        <v>111</v>
      </c>
      <c r="F107" s="9" t="b">
        <v>0</v>
      </c>
      <c r="G107" s="7">
        <v>45254.0</v>
      </c>
    </row>
    <row r="108">
      <c r="A108" s="6" t="s">
        <v>112</v>
      </c>
      <c r="B108" s="5">
        <v>3.0</v>
      </c>
      <c r="C108" s="5" t="s">
        <v>9</v>
      </c>
      <c r="D108" s="5" t="s">
        <v>9</v>
      </c>
      <c r="E108" s="5">
        <v>0.0</v>
      </c>
      <c r="F108" s="9" t="b">
        <v>0</v>
      </c>
      <c r="G108" s="7">
        <v>45255.0</v>
      </c>
    </row>
    <row r="109">
      <c r="A109" s="14"/>
      <c r="F109" s="9" t="b">
        <v>0</v>
      </c>
    </row>
    <row r="110">
      <c r="A110" s="14"/>
      <c r="F110" s="9" t="b">
        <v>0</v>
      </c>
    </row>
    <row r="111">
      <c r="A111" s="14"/>
      <c r="F111" s="9" t="b">
        <v>0</v>
      </c>
    </row>
    <row r="112">
      <c r="A112" s="14"/>
      <c r="F112" s="9" t="b">
        <v>0</v>
      </c>
    </row>
    <row r="113">
      <c r="A113" s="14"/>
      <c r="F113" s="9" t="b">
        <v>0</v>
      </c>
    </row>
    <row r="114">
      <c r="A114" s="14"/>
      <c r="F114" s="9" t="b">
        <v>0</v>
      </c>
    </row>
    <row r="115">
      <c r="A115" s="14"/>
      <c r="F115" s="9" t="b">
        <v>0</v>
      </c>
    </row>
    <row r="116">
      <c r="A116" s="14"/>
      <c r="F116" s="9" t="b">
        <v>0</v>
      </c>
    </row>
    <row r="117">
      <c r="A117" s="14"/>
      <c r="F117" s="9" t="b">
        <v>0</v>
      </c>
    </row>
    <row r="118">
      <c r="A118" s="14"/>
      <c r="F118" s="9" t="b">
        <v>0</v>
      </c>
    </row>
    <row r="119">
      <c r="A119" s="14"/>
      <c r="F119" s="9" t="b">
        <v>0</v>
      </c>
    </row>
    <row r="120">
      <c r="A120" s="14"/>
      <c r="F120" s="9" t="b">
        <v>0</v>
      </c>
    </row>
    <row r="121">
      <c r="A121" s="14"/>
      <c r="F121" s="9" t="b">
        <v>0</v>
      </c>
    </row>
    <row r="122">
      <c r="A122" s="14"/>
      <c r="F122" s="9" t="b">
        <v>0</v>
      </c>
    </row>
    <row r="123">
      <c r="A123" s="14"/>
      <c r="F123" s="9" t="b">
        <v>0</v>
      </c>
    </row>
    <row r="124">
      <c r="A124" s="14"/>
      <c r="F124" s="9" t="b">
        <v>0</v>
      </c>
    </row>
    <row r="125">
      <c r="A125" s="14"/>
      <c r="F125" s="9" t="b">
        <v>0</v>
      </c>
    </row>
    <row r="126">
      <c r="A126" s="14"/>
      <c r="F126" s="9" t="b">
        <v>0</v>
      </c>
    </row>
    <row r="127">
      <c r="A127" s="14"/>
      <c r="F127" s="9" t="b">
        <v>0</v>
      </c>
    </row>
    <row r="128">
      <c r="A128" s="14"/>
      <c r="F128" s="9" t="b">
        <v>0</v>
      </c>
    </row>
    <row r="129">
      <c r="A129" s="14"/>
      <c r="F129" s="9" t="b">
        <v>0</v>
      </c>
    </row>
    <row r="130">
      <c r="A130" s="14"/>
      <c r="F130" s="9" t="b">
        <v>0</v>
      </c>
    </row>
    <row r="131">
      <c r="A131" s="14"/>
      <c r="F131" s="9" t="b">
        <v>0</v>
      </c>
    </row>
    <row r="132">
      <c r="A132" s="14"/>
      <c r="F132" s="9" t="b">
        <v>0</v>
      </c>
    </row>
    <row r="133">
      <c r="A133" s="14"/>
      <c r="F133" s="9" t="b">
        <v>0</v>
      </c>
    </row>
    <row r="134">
      <c r="A134" s="14"/>
      <c r="F134" s="9" t="b">
        <v>0</v>
      </c>
    </row>
    <row r="135">
      <c r="A135" s="14"/>
      <c r="F135" s="9" t="b">
        <v>0</v>
      </c>
    </row>
    <row r="136">
      <c r="A136" s="14"/>
      <c r="F136" s="9" t="b">
        <v>0</v>
      </c>
    </row>
    <row r="137">
      <c r="A137" s="14"/>
      <c r="F137" s="9" t="b">
        <v>0</v>
      </c>
    </row>
    <row r="138">
      <c r="A138" s="14"/>
      <c r="F138" s="9" t="b">
        <v>0</v>
      </c>
    </row>
    <row r="139">
      <c r="A139" s="14"/>
      <c r="F139" s="9" t="b">
        <v>0</v>
      </c>
    </row>
    <row r="140">
      <c r="A140" s="14"/>
      <c r="F140" s="9" t="b">
        <v>0</v>
      </c>
    </row>
    <row r="141">
      <c r="A141" s="14"/>
      <c r="F141" s="9" t="b">
        <v>0</v>
      </c>
    </row>
    <row r="142">
      <c r="A142" s="14"/>
      <c r="F142" s="9" t="b">
        <v>0</v>
      </c>
    </row>
    <row r="143">
      <c r="A143" s="14"/>
      <c r="F143" s="9" t="b">
        <v>0</v>
      </c>
    </row>
    <row r="144">
      <c r="A144" s="14"/>
      <c r="F144" s="9" t="b">
        <v>0</v>
      </c>
    </row>
    <row r="145">
      <c r="A145" s="14"/>
      <c r="F145" s="9" t="b">
        <v>0</v>
      </c>
    </row>
    <row r="146">
      <c r="A146" s="14"/>
      <c r="F146" s="9" t="b">
        <v>0</v>
      </c>
    </row>
    <row r="147">
      <c r="A147" s="14"/>
      <c r="F147" s="9" t="b">
        <v>0</v>
      </c>
    </row>
    <row r="148">
      <c r="A148" s="14"/>
      <c r="F148" s="9" t="b">
        <v>0</v>
      </c>
    </row>
    <row r="149">
      <c r="A149" s="14"/>
      <c r="F149" s="9" t="b">
        <v>0</v>
      </c>
    </row>
    <row r="150">
      <c r="A150" s="14"/>
      <c r="F150" s="9" t="b">
        <v>0</v>
      </c>
    </row>
    <row r="151">
      <c r="A151" s="14"/>
      <c r="F151" s="9" t="b">
        <v>0</v>
      </c>
    </row>
    <row r="152">
      <c r="A152" s="14"/>
      <c r="F152" s="9" t="b">
        <v>0</v>
      </c>
    </row>
    <row r="153">
      <c r="A153" s="14"/>
      <c r="F153" s="9" t="b">
        <v>0</v>
      </c>
    </row>
    <row r="154">
      <c r="A154" s="14"/>
      <c r="F154" s="9" t="b">
        <v>0</v>
      </c>
    </row>
    <row r="155">
      <c r="A155" s="14"/>
      <c r="F155" s="9" t="b">
        <v>0</v>
      </c>
    </row>
    <row r="156">
      <c r="A156" s="14"/>
      <c r="F156" s="9" t="b">
        <v>0</v>
      </c>
    </row>
    <row r="157">
      <c r="A157" s="14"/>
      <c r="F157" s="9" t="b">
        <v>0</v>
      </c>
    </row>
    <row r="158">
      <c r="A158" s="14"/>
      <c r="F158" s="9" t="b">
        <v>0</v>
      </c>
    </row>
    <row r="159">
      <c r="A159" s="14"/>
      <c r="F159" s="9" t="b">
        <v>0</v>
      </c>
    </row>
    <row r="160">
      <c r="A160" s="14"/>
      <c r="F160" s="9" t="b">
        <v>0</v>
      </c>
    </row>
    <row r="161">
      <c r="A161" s="14"/>
      <c r="F161" s="9" t="b">
        <v>0</v>
      </c>
    </row>
    <row r="162">
      <c r="A162" s="14"/>
      <c r="F162" s="9" t="b">
        <v>0</v>
      </c>
    </row>
    <row r="163">
      <c r="A163" s="14"/>
      <c r="F163" s="9" t="b">
        <v>0</v>
      </c>
    </row>
    <row r="164">
      <c r="A164" s="14"/>
      <c r="F164" s="9" t="b">
        <v>0</v>
      </c>
    </row>
    <row r="165">
      <c r="A165" s="14"/>
      <c r="F165" s="9" t="b">
        <v>0</v>
      </c>
    </row>
    <row r="166">
      <c r="A166" s="14"/>
      <c r="F166" s="9" t="b">
        <v>0</v>
      </c>
    </row>
    <row r="167">
      <c r="A167" s="14"/>
      <c r="F167" s="9" t="b">
        <v>0</v>
      </c>
    </row>
    <row r="168">
      <c r="A168" s="14"/>
      <c r="F168" s="9" t="b">
        <v>0</v>
      </c>
    </row>
    <row r="169">
      <c r="A169" s="14"/>
      <c r="F169" s="9" t="b">
        <v>0</v>
      </c>
    </row>
    <row r="170">
      <c r="A170" s="14"/>
      <c r="F170" s="9" t="b">
        <v>0</v>
      </c>
    </row>
    <row r="171">
      <c r="A171" s="14"/>
      <c r="F171" s="9" t="b">
        <v>0</v>
      </c>
    </row>
    <row r="172">
      <c r="A172" s="14"/>
      <c r="F172" s="9" t="b">
        <v>0</v>
      </c>
    </row>
    <row r="173">
      <c r="A173" s="14"/>
      <c r="F173" s="9" t="b">
        <v>0</v>
      </c>
    </row>
    <row r="174">
      <c r="A174" s="14"/>
      <c r="F174" s="9" t="b">
        <v>0</v>
      </c>
    </row>
    <row r="175">
      <c r="A175" s="14"/>
      <c r="F175" s="9" t="b">
        <v>0</v>
      </c>
    </row>
    <row r="176">
      <c r="A176" s="14"/>
      <c r="F176" s="9" t="b">
        <v>0</v>
      </c>
    </row>
    <row r="177">
      <c r="A177" s="14"/>
      <c r="F177" s="9" t="b">
        <v>0</v>
      </c>
    </row>
    <row r="178">
      <c r="A178" s="14"/>
      <c r="F178" s="9" t="b">
        <v>0</v>
      </c>
    </row>
    <row r="179">
      <c r="A179" s="14"/>
      <c r="F179" s="9" t="b">
        <v>0</v>
      </c>
    </row>
    <row r="180">
      <c r="A180" s="14"/>
      <c r="F180" s="9" t="b">
        <v>0</v>
      </c>
    </row>
    <row r="181">
      <c r="A181" s="14"/>
      <c r="F181" s="9" t="b">
        <v>0</v>
      </c>
    </row>
    <row r="182">
      <c r="A182" s="14"/>
      <c r="F182" s="9" t="b">
        <v>0</v>
      </c>
    </row>
    <row r="183">
      <c r="A183" s="14"/>
      <c r="F183" s="9" t="b">
        <v>0</v>
      </c>
    </row>
    <row r="184">
      <c r="A184" s="14"/>
      <c r="F184" s="9" t="b">
        <v>0</v>
      </c>
    </row>
    <row r="185">
      <c r="A185" s="14"/>
      <c r="F185" s="9" t="b">
        <v>0</v>
      </c>
    </row>
    <row r="186">
      <c r="A186" s="14"/>
      <c r="F186" s="9" t="b">
        <v>0</v>
      </c>
    </row>
    <row r="187">
      <c r="A187" s="14"/>
      <c r="F187" s="9" t="b">
        <v>0</v>
      </c>
    </row>
    <row r="188">
      <c r="A188" s="14"/>
      <c r="F188" s="9" t="b">
        <v>0</v>
      </c>
    </row>
    <row r="189">
      <c r="A189" s="14"/>
      <c r="F189" s="9" t="b">
        <v>0</v>
      </c>
    </row>
    <row r="190">
      <c r="A190" s="14"/>
      <c r="F190" s="9" t="b">
        <v>0</v>
      </c>
    </row>
    <row r="191">
      <c r="A191" s="14"/>
      <c r="F191" s="9" t="b">
        <v>0</v>
      </c>
    </row>
    <row r="192">
      <c r="A192" s="14"/>
      <c r="F192" s="9" t="b">
        <v>0</v>
      </c>
    </row>
    <row r="193">
      <c r="A193" s="14"/>
      <c r="F193" s="9" t="b">
        <v>0</v>
      </c>
    </row>
    <row r="194">
      <c r="A194" s="14"/>
      <c r="F194" s="9" t="b">
        <v>0</v>
      </c>
    </row>
    <row r="195">
      <c r="A195" s="14"/>
      <c r="F195" s="9" t="b">
        <v>0</v>
      </c>
    </row>
    <row r="196">
      <c r="A196" s="14"/>
      <c r="F196" s="9" t="b">
        <v>0</v>
      </c>
    </row>
    <row r="197">
      <c r="A197" s="14"/>
      <c r="F197" s="9" t="b">
        <v>0</v>
      </c>
    </row>
    <row r="198">
      <c r="A198" s="14"/>
      <c r="F198" s="9" t="b">
        <v>0</v>
      </c>
    </row>
    <row r="199">
      <c r="A199" s="14"/>
      <c r="F199" s="9" t="b">
        <v>0</v>
      </c>
    </row>
    <row r="200">
      <c r="A200" s="14"/>
      <c r="F200" s="9" t="b">
        <v>0</v>
      </c>
    </row>
    <row r="201">
      <c r="A201" s="14"/>
      <c r="F201" s="9" t="b">
        <v>0</v>
      </c>
    </row>
    <row r="202">
      <c r="A202" s="14"/>
      <c r="F202" s="9" t="b">
        <v>0</v>
      </c>
    </row>
    <row r="203">
      <c r="A203" s="14"/>
      <c r="F203" s="9" t="b">
        <v>0</v>
      </c>
    </row>
    <row r="204">
      <c r="A204" s="14"/>
      <c r="F204" s="9" t="b">
        <v>0</v>
      </c>
    </row>
    <row r="205">
      <c r="A205" s="14"/>
      <c r="F205" s="9" t="b">
        <v>0</v>
      </c>
    </row>
    <row r="206">
      <c r="A206" s="14"/>
      <c r="F206" s="9" t="b">
        <v>0</v>
      </c>
    </row>
    <row r="207">
      <c r="A207" s="14"/>
      <c r="F207" s="9" t="b">
        <v>0</v>
      </c>
    </row>
    <row r="208">
      <c r="A208" s="14"/>
      <c r="F208" s="9" t="b">
        <v>0</v>
      </c>
    </row>
    <row r="209">
      <c r="A209" s="14"/>
      <c r="F209" s="9" t="b">
        <v>0</v>
      </c>
    </row>
    <row r="210">
      <c r="A210" s="14"/>
      <c r="F210" s="9" t="b">
        <v>0</v>
      </c>
    </row>
    <row r="211">
      <c r="A211" s="14"/>
      <c r="F211" s="9" t="b">
        <v>0</v>
      </c>
    </row>
    <row r="212">
      <c r="A212" s="14"/>
      <c r="F212" s="9" t="b">
        <v>0</v>
      </c>
    </row>
    <row r="213">
      <c r="A213" s="14"/>
      <c r="F213" s="9" t="b">
        <v>0</v>
      </c>
    </row>
    <row r="214">
      <c r="A214" s="14"/>
      <c r="F214" s="9" t="b">
        <v>0</v>
      </c>
    </row>
    <row r="215">
      <c r="A215" s="14"/>
      <c r="F215" s="9" t="b">
        <v>0</v>
      </c>
    </row>
    <row r="216">
      <c r="A216" s="14"/>
      <c r="F216" s="9" t="b">
        <v>0</v>
      </c>
    </row>
    <row r="217">
      <c r="A217" s="14"/>
      <c r="F217" s="9" t="b">
        <v>0</v>
      </c>
    </row>
    <row r="218">
      <c r="A218" s="14"/>
      <c r="F218" s="9" t="b">
        <v>0</v>
      </c>
    </row>
    <row r="219">
      <c r="A219" s="14"/>
      <c r="F219" s="9" t="b">
        <v>0</v>
      </c>
    </row>
    <row r="220">
      <c r="A220" s="14"/>
      <c r="F220" s="9" t="b">
        <v>0</v>
      </c>
    </row>
    <row r="221">
      <c r="A221" s="14"/>
      <c r="F221" s="9" t="b">
        <v>0</v>
      </c>
    </row>
    <row r="222">
      <c r="A222" s="14"/>
      <c r="F222" s="9" t="b">
        <v>0</v>
      </c>
    </row>
    <row r="223">
      <c r="A223" s="14"/>
      <c r="F223" s="9" t="b">
        <v>0</v>
      </c>
    </row>
    <row r="224">
      <c r="A224" s="14"/>
      <c r="F224" s="9" t="b">
        <v>0</v>
      </c>
    </row>
    <row r="225">
      <c r="A225" s="14"/>
      <c r="F225" s="9" t="b">
        <v>0</v>
      </c>
    </row>
    <row r="226">
      <c r="A226" s="14"/>
      <c r="F226" s="9" t="b">
        <v>0</v>
      </c>
    </row>
    <row r="227">
      <c r="A227" s="14"/>
      <c r="F227" s="9" t="b">
        <v>0</v>
      </c>
    </row>
    <row r="228">
      <c r="A228" s="14"/>
      <c r="F228" s="9" t="b">
        <v>0</v>
      </c>
    </row>
    <row r="229">
      <c r="A229" s="14"/>
      <c r="F229" s="9" t="b">
        <v>0</v>
      </c>
    </row>
    <row r="230">
      <c r="A230" s="14"/>
      <c r="F230" s="9" t="b">
        <v>0</v>
      </c>
    </row>
    <row r="231">
      <c r="A231" s="14"/>
      <c r="F231" s="9" t="b">
        <v>0</v>
      </c>
    </row>
    <row r="232">
      <c r="A232" s="14"/>
      <c r="F232" s="9" t="b">
        <v>0</v>
      </c>
    </row>
    <row r="233">
      <c r="A233" s="14"/>
      <c r="F233" s="9" t="b">
        <v>0</v>
      </c>
    </row>
    <row r="234">
      <c r="A234" s="14"/>
      <c r="F234" s="9" t="b">
        <v>0</v>
      </c>
    </row>
    <row r="235">
      <c r="A235" s="14"/>
      <c r="F235" s="9" t="b">
        <v>0</v>
      </c>
    </row>
    <row r="236">
      <c r="A236" s="14"/>
      <c r="F236" s="9" t="b">
        <v>0</v>
      </c>
    </row>
    <row r="237">
      <c r="A237" s="14"/>
      <c r="F237" s="9" t="b">
        <v>0</v>
      </c>
    </row>
    <row r="238">
      <c r="A238" s="14"/>
      <c r="F238" s="9" t="b">
        <v>0</v>
      </c>
    </row>
    <row r="239">
      <c r="A239" s="14"/>
      <c r="F239" s="9" t="b">
        <v>0</v>
      </c>
    </row>
    <row r="240">
      <c r="A240" s="14"/>
      <c r="F240" s="9" t="b">
        <v>0</v>
      </c>
    </row>
    <row r="241">
      <c r="A241" s="14"/>
      <c r="F241" s="9" t="b">
        <v>0</v>
      </c>
    </row>
    <row r="242">
      <c r="A242" s="14"/>
      <c r="F242" s="9" t="b">
        <v>0</v>
      </c>
    </row>
    <row r="243">
      <c r="A243" s="14"/>
      <c r="F243" s="9" t="b">
        <v>0</v>
      </c>
    </row>
    <row r="244">
      <c r="A244" s="14"/>
      <c r="F244" s="9" t="b">
        <v>0</v>
      </c>
    </row>
    <row r="245">
      <c r="A245" s="14"/>
      <c r="F245" s="9" t="b">
        <v>0</v>
      </c>
    </row>
    <row r="246">
      <c r="A246" s="14"/>
      <c r="F246" s="9" t="b">
        <v>0</v>
      </c>
    </row>
    <row r="247">
      <c r="A247" s="14"/>
      <c r="F247" s="9" t="b">
        <v>0</v>
      </c>
    </row>
    <row r="248">
      <c r="A248" s="14"/>
      <c r="F248" s="9" t="b">
        <v>0</v>
      </c>
    </row>
    <row r="249">
      <c r="A249" s="14"/>
      <c r="F249" s="9" t="b">
        <v>0</v>
      </c>
    </row>
    <row r="250">
      <c r="A250" s="14"/>
      <c r="F250" s="9" t="b">
        <v>0</v>
      </c>
    </row>
    <row r="251">
      <c r="A251" s="14"/>
      <c r="F251" s="9" t="b">
        <v>0</v>
      </c>
    </row>
    <row r="252">
      <c r="A252" s="14"/>
      <c r="F252" s="9" t="b">
        <v>0</v>
      </c>
    </row>
    <row r="253">
      <c r="A253" s="14"/>
      <c r="F253" s="9" t="b">
        <v>0</v>
      </c>
    </row>
    <row r="254">
      <c r="A254" s="14"/>
      <c r="F254" s="9" t="b">
        <v>0</v>
      </c>
    </row>
    <row r="255">
      <c r="A255" s="14"/>
      <c r="F255" s="9" t="b">
        <v>0</v>
      </c>
    </row>
    <row r="256">
      <c r="A256" s="14"/>
      <c r="F256" s="9" t="b">
        <v>0</v>
      </c>
    </row>
    <row r="257">
      <c r="A257" s="14"/>
      <c r="F257" s="9" t="b">
        <v>0</v>
      </c>
    </row>
    <row r="258">
      <c r="A258" s="14"/>
      <c r="F258" s="9" t="b">
        <v>0</v>
      </c>
    </row>
    <row r="259">
      <c r="A259" s="14"/>
      <c r="F259" s="9" t="b">
        <v>0</v>
      </c>
    </row>
    <row r="260">
      <c r="A260" s="14"/>
      <c r="F260" s="9" t="b">
        <v>0</v>
      </c>
    </row>
    <row r="261">
      <c r="A261" s="14"/>
      <c r="F261" s="9" t="b">
        <v>0</v>
      </c>
    </row>
    <row r="262">
      <c r="A262" s="14"/>
      <c r="F262" s="9" t="b">
        <v>0</v>
      </c>
    </row>
    <row r="263">
      <c r="A263" s="14"/>
      <c r="F263" s="9" t="b">
        <v>0</v>
      </c>
    </row>
    <row r="264">
      <c r="A264" s="14"/>
      <c r="F264" s="9" t="b">
        <v>0</v>
      </c>
    </row>
    <row r="265">
      <c r="A265" s="14"/>
      <c r="F265" s="9" t="b">
        <v>0</v>
      </c>
    </row>
    <row r="266">
      <c r="A266" s="14"/>
      <c r="F266" s="9" t="b">
        <v>0</v>
      </c>
    </row>
    <row r="267">
      <c r="A267" s="14"/>
      <c r="F267" s="9" t="b">
        <v>0</v>
      </c>
    </row>
    <row r="268">
      <c r="A268" s="14"/>
      <c r="F268" s="9" t="b">
        <v>0</v>
      </c>
    </row>
    <row r="269">
      <c r="A269" s="14"/>
      <c r="F269" s="9" t="b">
        <v>0</v>
      </c>
    </row>
    <row r="270">
      <c r="A270" s="14"/>
      <c r="F270" s="9" t="b">
        <v>0</v>
      </c>
    </row>
    <row r="271">
      <c r="A271" s="14"/>
      <c r="F271" s="9" t="b">
        <v>0</v>
      </c>
    </row>
    <row r="272">
      <c r="A272" s="14"/>
      <c r="F272" s="9" t="b">
        <v>0</v>
      </c>
    </row>
    <row r="273">
      <c r="A273" s="14"/>
      <c r="F273" s="9" t="b">
        <v>0</v>
      </c>
    </row>
    <row r="274">
      <c r="A274" s="14"/>
      <c r="F274" s="9" t="b">
        <v>0</v>
      </c>
    </row>
    <row r="275">
      <c r="A275" s="14"/>
      <c r="F275" s="9" t="b">
        <v>0</v>
      </c>
    </row>
    <row r="276">
      <c r="A276" s="14"/>
      <c r="F276" s="9" t="b">
        <v>0</v>
      </c>
    </row>
    <row r="277">
      <c r="A277" s="14"/>
      <c r="F277" s="9" t="b">
        <v>0</v>
      </c>
    </row>
    <row r="278">
      <c r="A278" s="14"/>
      <c r="F278" s="9" t="b">
        <v>0</v>
      </c>
    </row>
    <row r="279">
      <c r="A279" s="14"/>
      <c r="F279" s="9" t="b">
        <v>0</v>
      </c>
    </row>
    <row r="280">
      <c r="A280" s="14"/>
      <c r="F280" s="9" t="b">
        <v>0</v>
      </c>
    </row>
    <row r="281">
      <c r="A281" s="14"/>
      <c r="F281" s="9" t="b">
        <v>0</v>
      </c>
    </row>
    <row r="282">
      <c r="A282" s="14"/>
      <c r="F282" s="9" t="b">
        <v>0</v>
      </c>
    </row>
    <row r="283">
      <c r="A283" s="14"/>
      <c r="F283" s="9" t="b">
        <v>0</v>
      </c>
    </row>
    <row r="284">
      <c r="A284" s="14"/>
      <c r="F284" s="9" t="b">
        <v>0</v>
      </c>
    </row>
    <row r="285">
      <c r="A285" s="14"/>
      <c r="F285" s="9" t="b">
        <v>0</v>
      </c>
    </row>
    <row r="286">
      <c r="A286" s="14"/>
      <c r="F286" s="9" t="b">
        <v>0</v>
      </c>
    </row>
    <row r="287">
      <c r="A287" s="14"/>
      <c r="F287" s="9" t="b">
        <v>0</v>
      </c>
    </row>
    <row r="288">
      <c r="A288" s="14"/>
      <c r="F288" s="9" t="b">
        <v>0</v>
      </c>
    </row>
    <row r="289">
      <c r="A289" s="14"/>
      <c r="F289" s="9" t="b">
        <v>0</v>
      </c>
    </row>
    <row r="290">
      <c r="A290" s="14"/>
      <c r="F290" s="9" t="b">
        <v>0</v>
      </c>
    </row>
    <row r="291">
      <c r="A291" s="14"/>
      <c r="F291" s="9" t="b">
        <v>0</v>
      </c>
    </row>
    <row r="292">
      <c r="A292" s="14"/>
      <c r="F292" s="9" t="b">
        <v>0</v>
      </c>
    </row>
    <row r="293">
      <c r="A293" s="14"/>
      <c r="F293" s="9" t="b">
        <v>0</v>
      </c>
    </row>
    <row r="294">
      <c r="A294" s="14"/>
      <c r="F294" s="9" t="b">
        <v>0</v>
      </c>
    </row>
    <row r="295">
      <c r="A295" s="14"/>
      <c r="F295" s="9" t="b">
        <v>0</v>
      </c>
    </row>
    <row r="296">
      <c r="A296" s="14"/>
      <c r="F296" s="9" t="b">
        <v>0</v>
      </c>
    </row>
    <row r="297">
      <c r="A297" s="14"/>
      <c r="F297" s="9" t="b">
        <v>0</v>
      </c>
    </row>
    <row r="298">
      <c r="A298" s="14"/>
      <c r="F298" s="9" t="b">
        <v>0</v>
      </c>
    </row>
    <row r="299">
      <c r="A299" s="14"/>
      <c r="F299" s="9" t="b">
        <v>0</v>
      </c>
    </row>
    <row r="300">
      <c r="A300" s="14"/>
      <c r="F300" s="9" t="b">
        <v>0</v>
      </c>
    </row>
    <row r="301">
      <c r="A301" s="14"/>
      <c r="F301" s="9" t="b">
        <v>0</v>
      </c>
    </row>
    <row r="302">
      <c r="A302" s="14"/>
      <c r="F302" s="9" t="b">
        <v>0</v>
      </c>
    </row>
    <row r="303">
      <c r="A303" s="14"/>
      <c r="F303" s="9" t="b">
        <v>0</v>
      </c>
    </row>
    <row r="304">
      <c r="A304" s="14"/>
      <c r="F304" s="9" t="b">
        <v>0</v>
      </c>
    </row>
    <row r="305">
      <c r="A305" s="14"/>
      <c r="F305" s="9" t="b">
        <v>0</v>
      </c>
    </row>
    <row r="306">
      <c r="A306" s="14"/>
      <c r="F306" s="9" t="b">
        <v>0</v>
      </c>
    </row>
    <row r="307">
      <c r="A307" s="14"/>
      <c r="F307" s="9" t="b">
        <v>0</v>
      </c>
    </row>
    <row r="308">
      <c r="A308" s="14"/>
      <c r="F308" s="9" t="b">
        <v>0</v>
      </c>
    </row>
    <row r="309">
      <c r="A309" s="14"/>
      <c r="F309" s="9" t="b">
        <v>0</v>
      </c>
    </row>
    <row r="310">
      <c r="A310" s="14"/>
      <c r="F310" s="9" t="b">
        <v>0</v>
      </c>
    </row>
    <row r="311">
      <c r="A311" s="14"/>
      <c r="F311" s="9" t="b">
        <v>0</v>
      </c>
    </row>
    <row r="312">
      <c r="A312" s="14"/>
      <c r="F312" s="9" t="b">
        <v>0</v>
      </c>
    </row>
    <row r="313">
      <c r="A313" s="14"/>
      <c r="F313" s="9" t="b">
        <v>0</v>
      </c>
    </row>
    <row r="314">
      <c r="A314" s="14"/>
      <c r="F314" s="9" t="b">
        <v>0</v>
      </c>
    </row>
    <row r="315">
      <c r="A315" s="14"/>
      <c r="F315" s="9" t="b">
        <v>0</v>
      </c>
    </row>
    <row r="316">
      <c r="A316" s="14"/>
      <c r="F316" s="9" t="b">
        <v>0</v>
      </c>
    </row>
    <row r="317">
      <c r="A317" s="14"/>
      <c r="F317" s="9" t="b">
        <v>0</v>
      </c>
    </row>
    <row r="318">
      <c r="A318" s="14"/>
      <c r="F318" s="9" t="b">
        <v>0</v>
      </c>
    </row>
    <row r="319">
      <c r="A319" s="14"/>
      <c r="F319" s="9" t="b">
        <v>0</v>
      </c>
    </row>
    <row r="320">
      <c r="A320" s="14"/>
      <c r="F320" s="9" t="b">
        <v>0</v>
      </c>
    </row>
    <row r="321">
      <c r="A321" s="14"/>
      <c r="F321" s="9" t="b">
        <v>0</v>
      </c>
    </row>
    <row r="322">
      <c r="A322" s="14"/>
      <c r="F322" s="9" t="b">
        <v>0</v>
      </c>
    </row>
    <row r="323">
      <c r="A323" s="14"/>
      <c r="F323" s="9" t="b">
        <v>0</v>
      </c>
    </row>
    <row r="324">
      <c r="A324" s="14"/>
      <c r="F324" s="9" t="b">
        <v>0</v>
      </c>
    </row>
    <row r="325">
      <c r="A325" s="14"/>
      <c r="F325" s="9" t="b">
        <v>0</v>
      </c>
    </row>
    <row r="326">
      <c r="A326" s="14"/>
      <c r="F326" s="9" t="b">
        <v>0</v>
      </c>
    </row>
    <row r="327">
      <c r="A327" s="14"/>
      <c r="F327" s="9" t="b">
        <v>0</v>
      </c>
    </row>
    <row r="328">
      <c r="A328" s="14"/>
      <c r="F328" s="9" t="b">
        <v>0</v>
      </c>
    </row>
    <row r="329">
      <c r="A329" s="14"/>
      <c r="F329" s="9" t="b">
        <v>0</v>
      </c>
    </row>
    <row r="330">
      <c r="A330" s="14"/>
      <c r="F330" s="9" t="b">
        <v>0</v>
      </c>
    </row>
    <row r="331">
      <c r="A331" s="14"/>
      <c r="F331" s="9" t="b">
        <v>0</v>
      </c>
    </row>
    <row r="332">
      <c r="A332" s="14"/>
      <c r="F332" s="9" t="b">
        <v>0</v>
      </c>
    </row>
    <row r="333">
      <c r="A333" s="14"/>
      <c r="F333" s="9" t="b">
        <v>0</v>
      </c>
    </row>
    <row r="334">
      <c r="A334" s="14"/>
      <c r="F334" s="9" t="b">
        <v>0</v>
      </c>
    </row>
    <row r="335">
      <c r="A335" s="14"/>
      <c r="F335" s="9" t="b">
        <v>0</v>
      </c>
    </row>
    <row r="336">
      <c r="A336" s="14"/>
      <c r="F336" s="9" t="b">
        <v>0</v>
      </c>
    </row>
    <row r="337">
      <c r="A337" s="14"/>
      <c r="F337" s="9" t="b">
        <v>0</v>
      </c>
    </row>
    <row r="338">
      <c r="A338" s="14"/>
      <c r="F338" s="9" t="b">
        <v>0</v>
      </c>
    </row>
    <row r="339">
      <c r="A339" s="14"/>
      <c r="F339" s="9" t="b">
        <v>0</v>
      </c>
    </row>
    <row r="340">
      <c r="A340" s="14"/>
      <c r="F340" s="9" t="b">
        <v>0</v>
      </c>
    </row>
    <row r="341">
      <c r="A341" s="14"/>
      <c r="F341" s="9" t="b">
        <v>0</v>
      </c>
    </row>
    <row r="342">
      <c r="A342" s="14"/>
      <c r="F342" s="9" t="b">
        <v>0</v>
      </c>
    </row>
    <row r="343">
      <c r="A343" s="14"/>
      <c r="F343" s="9" t="b">
        <v>0</v>
      </c>
    </row>
    <row r="344">
      <c r="A344" s="14"/>
      <c r="F344" s="9" t="b">
        <v>0</v>
      </c>
    </row>
    <row r="345">
      <c r="A345" s="14"/>
      <c r="F345" s="9" t="b">
        <v>0</v>
      </c>
    </row>
    <row r="346">
      <c r="A346" s="14"/>
      <c r="F346" s="9" t="b">
        <v>0</v>
      </c>
    </row>
    <row r="347">
      <c r="A347" s="14"/>
      <c r="F347" s="9" t="b">
        <v>0</v>
      </c>
    </row>
    <row r="348">
      <c r="A348" s="14"/>
      <c r="F348" s="9" t="b">
        <v>0</v>
      </c>
    </row>
    <row r="349">
      <c r="A349" s="14"/>
      <c r="F349" s="9" t="b">
        <v>0</v>
      </c>
    </row>
    <row r="350">
      <c r="A350" s="14"/>
      <c r="F350" s="9" t="b">
        <v>0</v>
      </c>
    </row>
    <row r="351">
      <c r="A351" s="14"/>
      <c r="F351" s="9" t="b">
        <v>0</v>
      </c>
    </row>
    <row r="352">
      <c r="A352" s="14"/>
      <c r="F352" s="9" t="b">
        <v>0</v>
      </c>
    </row>
    <row r="353">
      <c r="A353" s="14"/>
      <c r="F353" s="9" t="b">
        <v>0</v>
      </c>
    </row>
    <row r="354">
      <c r="A354" s="14"/>
      <c r="F354" s="9" t="b">
        <v>0</v>
      </c>
    </row>
    <row r="355">
      <c r="A355" s="14"/>
      <c r="F355" s="9" t="b">
        <v>0</v>
      </c>
    </row>
    <row r="356">
      <c r="A356" s="14"/>
      <c r="F356" s="9" t="b">
        <v>0</v>
      </c>
    </row>
    <row r="357">
      <c r="A357" s="14"/>
      <c r="F357" s="9" t="b">
        <v>0</v>
      </c>
    </row>
    <row r="358">
      <c r="A358" s="14"/>
      <c r="F358" s="9" t="b">
        <v>0</v>
      </c>
    </row>
    <row r="359">
      <c r="A359" s="14"/>
      <c r="F359" s="9" t="b">
        <v>0</v>
      </c>
    </row>
    <row r="360">
      <c r="A360" s="14"/>
      <c r="F360" s="9" t="b">
        <v>0</v>
      </c>
    </row>
    <row r="361">
      <c r="A361" s="14"/>
      <c r="F361" s="9" t="b">
        <v>0</v>
      </c>
    </row>
    <row r="362">
      <c r="A362" s="14"/>
      <c r="F362" s="9" t="b">
        <v>0</v>
      </c>
    </row>
    <row r="363">
      <c r="A363" s="14"/>
      <c r="F363" s="9" t="b">
        <v>0</v>
      </c>
    </row>
    <row r="364">
      <c r="A364" s="14"/>
      <c r="F364" s="9" t="b">
        <v>0</v>
      </c>
    </row>
    <row r="365">
      <c r="A365" s="14"/>
      <c r="F365" s="9" t="b">
        <v>0</v>
      </c>
    </row>
    <row r="366">
      <c r="A366" s="14"/>
      <c r="F366" s="9" t="b">
        <v>0</v>
      </c>
    </row>
    <row r="367">
      <c r="A367" s="14"/>
      <c r="F367" s="9" t="b">
        <v>0</v>
      </c>
    </row>
    <row r="368">
      <c r="A368" s="14"/>
      <c r="F368" s="9" t="b">
        <v>0</v>
      </c>
    </row>
    <row r="369">
      <c r="A369" s="14"/>
      <c r="F369" s="9" t="b">
        <v>0</v>
      </c>
    </row>
    <row r="370">
      <c r="A370" s="14"/>
      <c r="F370" s="9" t="b">
        <v>0</v>
      </c>
    </row>
    <row r="371">
      <c r="A371" s="14"/>
      <c r="F371" s="9" t="b">
        <v>0</v>
      </c>
    </row>
    <row r="372">
      <c r="A372" s="14"/>
      <c r="F372" s="9" t="b">
        <v>0</v>
      </c>
    </row>
    <row r="373">
      <c r="A373" s="14"/>
      <c r="F373" s="9" t="b">
        <v>0</v>
      </c>
    </row>
    <row r="374">
      <c r="A374" s="14"/>
      <c r="F374" s="9" t="b">
        <v>0</v>
      </c>
    </row>
    <row r="375">
      <c r="A375" s="14"/>
      <c r="F375" s="9" t="b">
        <v>0</v>
      </c>
    </row>
    <row r="376">
      <c r="A376" s="14"/>
      <c r="F376" s="9" t="b">
        <v>0</v>
      </c>
    </row>
    <row r="377">
      <c r="A377" s="14"/>
      <c r="F377" s="9" t="b">
        <v>0</v>
      </c>
    </row>
    <row r="378">
      <c r="A378" s="14"/>
      <c r="F378" s="9" t="b">
        <v>0</v>
      </c>
    </row>
    <row r="379">
      <c r="A379" s="14"/>
      <c r="F379" s="9" t="b">
        <v>0</v>
      </c>
    </row>
    <row r="380">
      <c r="A380" s="14"/>
      <c r="F380" s="9" t="b">
        <v>0</v>
      </c>
    </row>
    <row r="381">
      <c r="A381" s="14"/>
      <c r="F381" s="9" t="b">
        <v>0</v>
      </c>
    </row>
    <row r="382">
      <c r="A382" s="14"/>
      <c r="F382" s="9" t="b">
        <v>0</v>
      </c>
    </row>
    <row r="383">
      <c r="A383" s="14"/>
      <c r="F383" s="9" t="b">
        <v>0</v>
      </c>
    </row>
    <row r="384">
      <c r="A384" s="14"/>
      <c r="F384" s="9" t="b">
        <v>0</v>
      </c>
    </row>
    <row r="385">
      <c r="A385" s="14"/>
      <c r="F385" s="9" t="b">
        <v>0</v>
      </c>
    </row>
    <row r="386">
      <c r="A386" s="14"/>
      <c r="F386" s="9" t="b">
        <v>0</v>
      </c>
    </row>
    <row r="387">
      <c r="A387" s="14"/>
      <c r="F387" s="9" t="b">
        <v>0</v>
      </c>
    </row>
    <row r="388">
      <c r="A388" s="14"/>
      <c r="F388" s="9" t="b">
        <v>0</v>
      </c>
    </row>
    <row r="389">
      <c r="A389" s="14"/>
      <c r="F389" s="9" t="b">
        <v>0</v>
      </c>
    </row>
    <row r="390">
      <c r="A390" s="14"/>
      <c r="F390" s="9" t="b">
        <v>0</v>
      </c>
    </row>
    <row r="391">
      <c r="A391" s="14"/>
      <c r="F391" s="9" t="b">
        <v>0</v>
      </c>
    </row>
    <row r="392">
      <c r="A392" s="14"/>
      <c r="F392" s="9" t="b">
        <v>0</v>
      </c>
    </row>
    <row r="393">
      <c r="A393" s="14"/>
      <c r="F393" s="9" t="b">
        <v>0</v>
      </c>
    </row>
    <row r="394">
      <c r="A394" s="14"/>
      <c r="F394" s="9" t="b">
        <v>0</v>
      </c>
    </row>
    <row r="395">
      <c r="A395" s="14"/>
      <c r="F395" s="9" t="b">
        <v>0</v>
      </c>
    </row>
    <row r="396">
      <c r="A396" s="14"/>
      <c r="F396" s="9" t="b">
        <v>0</v>
      </c>
    </row>
    <row r="397">
      <c r="A397" s="14"/>
      <c r="F397" s="9" t="b">
        <v>0</v>
      </c>
    </row>
    <row r="398">
      <c r="A398" s="14"/>
      <c r="F398" s="9" t="b">
        <v>0</v>
      </c>
    </row>
    <row r="399">
      <c r="A399" s="14"/>
      <c r="F399" s="9" t="b">
        <v>0</v>
      </c>
    </row>
    <row r="400">
      <c r="A400" s="14"/>
      <c r="F400" s="9" t="b">
        <v>0</v>
      </c>
    </row>
    <row r="401">
      <c r="A401" s="14"/>
      <c r="F401" s="9" t="b">
        <v>0</v>
      </c>
    </row>
    <row r="402">
      <c r="A402" s="14"/>
      <c r="F402" s="9" t="b">
        <v>0</v>
      </c>
    </row>
    <row r="403">
      <c r="A403" s="14"/>
      <c r="F403" s="9" t="b">
        <v>0</v>
      </c>
    </row>
    <row r="404">
      <c r="A404" s="14"/>
      <c r="F404" s="9" t="b">
        <v>0</v>
      </c>
    </row>
    <row r="405">
      <c r="A405" s="14"/>
      <c r="F405" s="9" t="b">
        <v>0</v>
      </c>
    </row>
    <row r="406">
      <c r="A406" s="14"/>
      <c r="F406" s="9" t="b">
        <v>0</v>
      </c>
    </row>
    <row r="407">
      <c r="A407" s="14"/>
      <c r="F407" s="9" t="b">
        <v>0</v>
      </c>
    </row>
    <row r="408">
      <c r="A408" s="14"/>
      <c r="F408" s="9" t="b">
        <v>0</v>
      </c>
    </row>
    <row r="409">
      <c r="A409" s="14"/>
      <c r="F409" s="9" t="b">
        <v>0</v>
      </c>
    </row>
    <row r="410">
      <c r="A410" s="14"/>
      <c r="F410" s="9" t="b">
        <v>0</v>
      </c>
    </row>
    <row r="411">
      <c r="A411" s="14"/>
      <c r="F411" s="9" t="b">
        <v>0</v>
      </c>
    </row>
    <row r="412">
      <c r="A412" s="14"/>
      <c r="F412" s="9" t="b">
        <v>0</v>
      </c>
    </row>
    <row r="413">
      <c r="A413" s="14"/>
      <c r="F413" s="9" t="b">
        <v>0</v>
      </c>
    </row>
    <row r="414">
      <c r="A414" s="14"/>
      <c r="F414" s="9" t="b">
        <v>0</v>
      </c>
    </row>
    <row r="415">
      <c r="A415" s="14"/>
      <c r="F415" s="9" t="b">
        <v>0</v>
      </c>
    </row>
    <row r="416">
      <c r="A416" s="14"/>
      <c r="F416" s="9" t="b">
        <v>0</v>
      </c>
    </row>
    <row r="417">
      <c r="A417" s="14"/>
      <c r="F417" s="9" t="b">
        <v>0</v>
      </c>
    </row>
    <row r="418">
      <c r="A418" s="14"/>
      <c r="F418" s="9" t="b">
        <v>0</v>
      </c>
    </row>
    <row r="419">
      <c r="A419" s="14"/>
      <c r="F419" s="9" t="b">
        <v>0</v>
      </c>
    </row>
    <row r="420">
      <c r="A420" s="14"/>
      <c r="F420" s="9" t="b">
        <v>0</v>
      </c>
    </row>
    <row r="421">
      <c r="A421" s="14"/>
      <c r="F421" s="9" t="b">
        <v>0</v>
      </c>
    </row>
    <row r="422">
      <c r="A422" s="14"/>
      <c r="F422" s="9" t="b">
        <v>0</v>
      </c>
    </row>
    <row r="423">
      <c r="A423" s="14"/>
      <c r="F423" s="9" t="b">
        <v>0</v>
      </c>
    </row>
    <row r="424">
      <c r="A424" s="14"/>
      <c r="F424" s="9" t="b">
        <v>0</v>
      </c>
    </row>
    <row r="425">
      <c r="A425" s="14"/>
      <c r="F425" s="9" t="b">
        <v>0</v>
      </c>
    </row>
    <row r="426">
      <c r="A426" s="14"/>
      <c r="F426" s="9" t="b">
        <v>0</v>
      </c>
    </row>
    <row r="427">
      <c r="A427" s="14"/>
      <c r="F427" s="9" t="b">
        <v>0</v>
      </c>
    </row>
    <row r="428">
      <c r="A428" s="14"/>
      <c r="F428" s="9" t="b">
        <v>0</v>
      </c>
    </row>
    <row r="429">
      <c r="A429" s="14"/>
      <c r="F429" s="9" t="b">
        <v>0</v>
      </c>
    </row>
    <row r="430">
      <c r="A430" s="14"/>
      <c r="F430" s="9" t="b">
        <v>0</v>
      </c>
    </row>
    <row r="431">
      <c r="A431" s="14"/>
      <c r="F431" s="9" t="b">
        <v>0</v>
      </c>
    </row>
    <row r="432">
      <c r="A432" s="14"/>
      <c r="F432" s="9" t="b">
        <v>0</v>
      </c>
    </row>
    <row r="433">
      <c r="A433" s="14"/>
      <c r="F433" s="9" t="b">
        <v>0</v>
      </c>
    </row>
    <row r="434">
      <c r="A434" s="14"/>
      <c r="F434" s="9" t="b">
        <v>0</v>
      </c>
    </row>
    <row r="435">
      <c r="A435" s="14"/>
      <c r="F435" s="9" t="b">
        <v>0</v>
      </c>
    </row>
    <row r="436">
      <c r="A436" s="14"/>
      <c r="F436" s="9" t="b">
        <v>0</v>
      </c>
    </row>
    <row r="437">
      <c r="A437" s="14"/>
      <c r="F437" s="9" t="b">
        <v>0</v>
      </c>
    </row>
    <row r="438">
      <c r="A438" s="14"/>
      <c r="F438" s="9" t="b">
        <v>0</v>
      </c>
    </row>
    <row r="439">
      <c r="A439" s="14"/>
      <c r="F439" s="9" t="b">
        <v>0</v>
      </c>
    </row>
    <row r="440">
      <c r="A440" s="14"/>
      <c r="F440" s="9" t="b">
        <v>0</v>
      </c>
    </row>
    <row r="441">
      <c r="A441" s="14"/>
      <c r="F441" s="9" t="b">
        <v>0</v>
      </c>
    </row>
    <row r="442">
      <c r="A442" s="14"/>
      <c r="F442" s="9" t="b">
        <v>0</v>
      </c>
    </row>
    <row r="443">
      <c r="A443" s="14"/>
      <c r="F443" s="9" t="b">
        <v>0</v>
      </c>
    </row>
    <row r="444">
      <c r="A444" s="14"/>
      <c r="F444" s="9" t="b">
        <v>0</v>
      </c>
    </row>
    <row r="445">
      <c r="A445" s="14"/>
      <c r="F445" s="9" t="b">
        <v>0</v>
      </c>
    </row>
    <row r="446">
      <c r="A446" s="14"/>
      <c r="F446" s="9" t="b">
        <v>0</v>
      </c>
    </row>
    <row r="447">
      <c r="A447" s="14"/>
      <c r="F447" s="9" t="b">
        <v>0</v>
      </c>
    </row>
    <row r="448">
      <c r="A448" s="14"/>
      <c r="F448" s="9" t="b">
        <v>0</v>
      </c>
    </row>
    <row r="449">
      <c r="A449" s="14"/>
      <c r="F449" s="9" t="b">
        <v>0</v>
      </c>
    </row>
    <row r="450">
      <c r="A450" s="14"/>
      <c r="F450" s="9" t="b">
        <v>0</v>
      </c>
    </row>
    <row r="451">
      <c r="A451" s="14"/>
      <c r="F451" s="9" t="b">
        <v>0</v>
      </c>
    </row>
    <row r="452">
      <c r="A452" s="14"/>
      <c r="F452" s="9" t="b">
        <v>0</v>
      </c>
    </row>
    <row r="453">
      <c r="A453" s="14"/>
      <c r="F453" s="9" t="b">
        <v>0</v>
      </c>
    </row>
    <row r="454">
      <c r="A454" s="14"/>
      <c r="F454" s="9" t="b">
        <v>0</v>
      </c>
    </row>
    <row r="455">
      <c r="A455" s="14"/>
      <c r="F455" s="9" t="b">
        <v>0</v>
      </c>
    </row>
    <row r="456">
      <c r="A456" s="14"/>
      <c r="F456" s="9" t="b">
        <v>0</v>
      </c>
    </row>
    <row r="457">
      <c r="A457" s="14"/>
      <c r="F457" s="9" t="b">
        <v>0</v>
      </c>
    </row>
    <row r="458">
      <c r="A458" s="14"/>
      <c r="F458" s="9" t="b">
        <v>0</v>
      </c>
    </row>
    <row r="459">
      <c r="A459" s="14"/>
      <c r="F459" s="9" t="b">
        <v>0</v>
      </c>
    </row>
    <row r="460">
      <c r="A460" s="14"/>
      <c r="F460" s="9" t="b">
        <v>0</v>
      </c>
    </row>
    <row r="461">
      <c r="A461" s="14"/>
      <c r="F461" s="9" t="b">
        <v>0</v>
      </c>
    </row>
    <row r="462">
      <c r="A462" s="14"/>
      <c r="F462" s="9" t="b">
        <v>0</v>
      </c>
    </row>
    <row r="463">
      <c r="A463" s="14"/>
      <c r="F463" s="9" t="b">
        <v>0</v>
      </c>
    </row>
    <row r="464">
      <c r="A464" s="14"/>
      <c r="F464" s="9" t="b">
        <v>0</v>
      </c>
    </row>
    <row r="465">
      <c r="A465" s="14"/>
      <c r="F465" s="9" t="b">
        <v>0</v>
      </c>
    </row>
    <row r="466">
      <c r="A466" s="14"/>
      <c r="F466" s="9" t="b">
        <v>0</v>
      </c>
    </row>
    <row r="467">
      <c r="A467" s="14"/>
      <c r="F467" s="9" t="b">
        <v>0</v>
      </c>
    </row>
    <row r="468">
      <c r="A468" s="14"/>
      <c r="F468" s="9" t="b">
        <v>0</v>
      </c>
    </row>
    <row r="469">
      <c r="A469" s="14"/>
      <c r="F469" s="9" t="b">
        <v>0</v>
      </c>
    </row>
    <row r="470">
      <c r="A470" s="14"/>
      <c r="F470" s="9" t="b">
        <v>0</v>
      </c>
    </row>
    <row r="471">
      <c r="A471" s="14"/>
      <c r="F471" s="9" t="b">
        <v>0</v>
      </c>
    </row>
    <row r="472">
      <c r="A472" s="14"/>
      <c r="F472" s="9" t="b">
        <v>0</v>
      </c>
    </row>
    <row r="473">
      <c r="A473" s="14"/>
      <c r="F473" s="9" t="b">
        <v>0</v>
      </c>
    </row>
    <row r="474">
      <c r="A474" s="14"/>
      <c r="F474" s="9" t="b">
        <v>0</v>
      </c>
    </row>
    <row r="475">
      <c r="A475" s="14"/>
      <c r="F475" s="9" t="b">
        <v>0</v>
      </c>
    </row>
    <row r="476">
      <c r="A476" s="14"/>
      <c r="F476" s="9" t="b">
        <v>0</v>
      </c>
    </row>
    <row r="477">
      <c r="A477" s="14"/>
      <c r="F477" s="9" t="b">
        <v>0</v>
      </c>
    </row>
    <row r="478">
      <c r="A478" s="14"/>
      <c r="F478" s="9" t="b">
        <v>0</v>
      </c>
    </row>
    <row r="479">
      <c r="A479" s="14"/>
      <c r="F479" s="9" t="b">
        <v>0</v>
      </c>
    </row>
    <row r="480">
      <c r="A480" s="14"/>
      <c r="F480" s="9" t="b">
        <v>0</v>
      </c>
    </row>
    <row r="481">
      <c r="A481" s="14"/>
      <c r="F481" s="9" t="b">
        <v>0</v>
      </c>
    </row>
    <row r="482">
      <c r="A482" s="14"/>
      <c r="F482" s="9" t="b">
        <v>0</v>
      </c>
    </row>
    <row r="483">
      <c r="A483" s="14"/>
      <c r="F483" s="9" t="b">
        <v>0</v>
      </c>
    </row>
    <row r="484">
      <c r="A484" s="14"/>
      <c r="F484" s="9" t="b">
        <v>0</v>
      </c>
    </row>
    <row r="485">
      <c r="A485" s="14"/>
      <c r="F485" s="9" t="b">
        <v>0</v>
      </c>
    </row>
    <row r="486">
      <c r="A486" s="14"/>
      <c r="F486" s="9" t="b">
        <v>0</v>
      </c>
    </row>
    <row r="487">
      <c r="A487" s="14"/>
      <c r="F487" s="9" t="b">
        <v>0</v>
      </c>
    </row>
    <row r="488">
      <c r="A488" s="14"/>
      <c r="F488" s="9" t="b">
        <v>0</v>
      </c>
    </row>
    <row r="489">
      <c r="A489" s="14"/>
      <c r="F489" s="9" t="b">
        <v>0</v>
      </c>
    </row>
    <row r="490">
      <c r="A490" s="14"/>
      <c r="F490" s="9" t="b">
        <v>0</v>
      </c>
    </row>
    <row r="491">
      <c r="A491" s="14"/>
      <c r="F491" s="9" t="b">
        <v>0</v>
      </c>
    </row>
    <row r="492">
      <c r="A492" s="14"/>
      <c r="F492" s="9" t="b">
        <v>0</v>
      </c>
    </row>
    <row r="493">
      <c r="A493" s="14"/>
      <c r="F493" s="9" t="b">
        <v>0</v>
      </c>
    </row>
    <row r="494">
      <c r="A494" s="14"/>
      <c r="F494" s="9" t="b">
        <v>0</v>
      </c>
    </row>
    <row r="495">
      <c r="A495" s="14"/>
      <c r="F495" s="9" t="b">
        <v>0</v>
      </c>
    </row>
    <row r="496">
      <c r="A496" s="14"/>
      <c r="F496" s="9" t="b">
        <v>0</v>
      </c>
    </row>
    <row r="497">
      <c r="A497" s="14"/>
      <c r="F497" s="9" t="b">
        <v>0</v>
      </c>
    </row>
    <row r="498">
      <c r="A498" s="14"/>
      <c r="F498" s="9" t="b">
        <v>0</v>
      </c>
    </row>
    <row r="499">
      <c r="A499" s="14"/>
      <c r="F499" s="9" t="b">
        <v>0</v>
      </c>
    </row>
    <row r="500">
      <c r="A500" s="14"/>
      <c r="F500" s="9" t="b">
        <v>0</v>
      </c>
    </row>
    <row r="501">
      <c r="A501" s="14"/>
      <c r="F501" s="9" t="b">
        <v>0</v>
      </c>
    </row>
    <row r="502">
      <c r="A502" s="14"/>
      <c r="F502" s="9" t="b">
        <v>0</v>
      </c>
    </row>
    <row r="503">
      <c r="A503" s="14"/>
      <c r="F503" s="9" t="b">
        <v>0</v>
      </c>
    </row>
    <row r="504">
      <c r="A504" s="14"/>
      <c r="F504" s="9" t="b">
        <v>0</v>
      </c>
    </row>
    <row r="505">
      <c r="A505" s="14"/>
      <c r="F505" s="9" t="b">
        <v>0</v>
      </c>
    </row>
    <row r="506">
      <c r="A506" s="14"/>
      <c r="F506" s="9" t="b">
        <v>0</v>
      </c>
    </row>
    <row r="507">
      <c r="A507" s="14"/>
      <c r="F507" s="9" t="b">
        <v>0</v>
      </c>
    </row>
    <row r="508">
      <c r="A508" s="14"/>
      <c r="F508" s="9" t="b">
        <v>0</v>
      </c>
    </row>
    <row r="509">
      <c r="A509" s="14"/>
      <c r="F509" s="9" t="b">
        <v>0</v>
      </c>
    </row>
    <row r="510">
      <c r="A510" s="14"/>
      <c r="F510" s="9" t="b">
        <v>0</v>
      </c>
    </row>
    <row r="511">
      <c r="A511" s="14"/>
      <c r="F511" s="9" t="b">
        <v>0</v>
      </c>
    </row>
    <row r="512">
      <c r="A512" s="14"/>
      <c r="F512" s="9" t="b">
        <v>0</v>
      </c>
    </row>
    <row r="513">
      <c r="A513" s="14"/>
      <c r="F513" s="9" t="b">
        <v>0</v>
      </c>
    </row>
    <row r="514">
      <c r="A514" s="14"/>
      <c r="F514" s="9" t="b">
        <v>0</v>
      </c>
    </row>
    <row r="515">
      <c r="A515" s="14"/>
      <c r="F515" s="9" t="b">
        <v>0</v>
      </c>
    </row>
    <row r="516">
      <c r="A516" s="14"/>
      <c r="F516" s="9" t="b">
        <v>0</v>
      </c>
    </row>
    <row r="517">
      <c r="A517" s="14"/>
      <c r="F517" s="9" t="b">
        <v>0</v>
      </c>
    </row>
    <row r="518">
      <c r="A518" s="14"/>
      <c r="F518" s="9" t="b">
        <v>0</v>
      </c>
    </row>
    <row r="519">
      <c r="A519" s="14"/>
      <c r="F519" s="9" t="b">
        <v>0</v>
      </c>
    </row>
    <row r="520">
      <c r="A520" s="14"/>
      <c r="F520" s="9" t="b">
        <v>0</v>
      </c>
    </row>
    <row r="521">
      <c r="A521" s="14"/>
      <c r="F521" s="9" t="b">
        <v>0</v>
      </c>
    </row>
    <row r="522">
      <c r="A522" s="14"/>
      <c r="F522" s="9" t="b">
        <v>0</v>
      </c>
    </row>
    <row r="523">
      <c r="A523" s="14"/>
      <c r="F523" s="9" t="b">
        <v>0</v>
      </c>
    </row>
    <row r="524">
      <c r="A524" s="14"/>
      <c r="F524" s="9" t="b">
        <v>0</v>
      </c>
    </row>
    <row r="525">
      <c r="A525" s="14"/>
      <c r="F525" s="9" t="b">
        <v>0</v>
      </c>
    </row>
    <row r="526">
      <c r="A526" s="14"/>
      <c r="F526" s="9" t="b">
        <v>0</v>
      </c>
    </row>
    <row r="527">
      <c r="A527" s="14"/>
      <c r="F527" s="9" t="b">
        <v>0</v>
      </c>
    </row>
    <row r="528">
      <c r="A528" s="14"/>
      <c r="F528" s="9" t="b">
        <v>0</v>
      </c>
    </row>
    <row r="529">
      <c r="A529" s="14"/>
      <c r="F529" s="9" t="b">
        <v>0</v>
      </c>
    </row>
    <row r="530">
      <c r="A530" s="14"/>
      <c r="F530" s="9" t="b">
        <v>0</v>
      </c>
    </row>
    <row r="531">
      <c r="A531" s="14"/>
      <c r="F531" s="9" t="b">
        <v>0</v>
      </c>
    </row>
    <row r="532">
      <c r="A532" s="14"/>
      <c r="F532" s="9" t="b">
        <v>0</v>
      </c>
    </row>
    <row r="533">
      <c r="A533" s="14"/>
      <c r="F533" s="9" t="b">
        <v>0</v>
      </c>
    </row>
    <row r="534">
      <c r="A534" s="14"/>
      <c r="F534" s="9" t="b">
        <v>0</v>
      </c>
    </row>
    <row r="535">
      <c r="A535" s="14"/>
      <c r="F535" s="9" t="b">
        <v>0</v>
      </c>
    </row>
    <row r="536">
      <c r="A536" s="14"/>
      <c r="F536" s="9" t="b">
        <v>0</v>
      </c>
    </row>
    <row r="537">
      <c r="A537" s="14"/>
      <c r="F537" s="9" t="b">
        <v>0</v>
      </c>
    </row>
    <row r="538">
      <c r="A538" s="14"/>
      <c r="F538" s="9" t="b">
        <v>0</v>
      </c>
    </row>
    <row r="539">
      <c r="A539" s="14"/>
      <c r="F539" s="9" t="b">
        <v>0</v>
      </c>
    </row>
    <row r="540">
      <c r="A540" s="14"/>
      <c r="F540" s="9" t="b">
        <v>0</v>
      </c>
    </row>
    <row r="541">
      <c r="A541" s="14"/>
      <c r="F541" s="9" t="b">
        <v>0</v>
      </c>
    </row>
    <row r="542">
      <c r="A542" s="14"/>
      <c r="F542" s="9" t="b">
        <v>0</v>
      </c>
    </row>
    <row r="543">
      <c r="A543" s="14"/>
      <c r="F543" s="9" t="b">
        <v>0</v>
      </c>
    </row>
    <row r="544">
      <c r="A544" s="14"/>
      <c r="F544" s="9" t="b">
        <v>0</v>
      </c>
    </row>
    <row r="545">
      <c r="A545" s="14"/>
      <c r="F545" s="9" t="b">
        <v>0</v>
      </c>
    </row>
    <row r="546">
      <c r="A546" s="14"/>
      <c r="F546" s="9" t="b">
        <v>0</v>
      </c>
    </row>
    <row r="547">
      <c r="A547" s="14"/>
      <c r="F547" s="9" t="b">
        <v>0</v>
      </c>
    </row>
    <row r="548">
      <c r="A548" s="14"/>
      <c r="F548" s="9" t="b">
        <v>0</v>
      </c>
    </row>
    <row r="549">
      <c r="A549" s="14"/>
      <c r="F549" s="9" t="b">
        <v>0</v>
      </c>
    </row>
    <row r="550">
      <c r="A550" s="14"/>
      <c r="F550" s="9" t="b">
        <v>0</v>
      </c>
    </row>
    <row r="551">
      <c r="A551" s="14"/>
      <c r="F551" s="9" t="b">
        <v>0</v>
      </c>
    </row>
    <row r="552">
      <c r="A552" s="14"/>
      <c r="F552" s="9" t="b">
        <v>0</v>
      </c>
    </row>
    <row r="553">
      <c r="A553" s="14"/>
      <c r="F553" s="9" t="b">
        <v>0</v>
      </c>
    </row>
    <row r="554">
      <c r="A554" s="14"/>
      <c r="F554" s="9" t="b">
        <v>0</v>
      </c>
    </row>
    <row r="555">
      <c r="A555" s="14"/>
      <c r="F555" s="9" t="b">
        <v>0</v>
      </c>
    </row>
    <row r="556">
      <c r="A556" s="14"/>
      <c r="F556" s="9" t="b">
        <v>0</v>
      </c>
    </row>
    <row r="557">
      <c r="A557" s="14"/>
      <c r="F557" s="9" t="b">
        <v>0</v>
      </c>
    </row>
    <row r="558">
      <c r="A558" s="14"/>
      <c r="F558" s="9" t="b">
        <v>0</v>
      </c>
    </row>
    <row r="559">
      <c r="A559" s="14"/>
      <c r="F559" s="9" t="b">
        <v>0</v>
      </c>
    </row>
    <row r="560">
      <c r="A560" s="14"/>
      <c r="F560" s="9" t="b">
        <v>0</v>
      </c>
    </row>
    <row r="561">
      <c r="A561" s="14"/>
      <c r="F561" s="9" t="b">
        <v>0</v>
      </c>
    </row>
    <row r="562">
      <c r="A562" s="14"/>
      <c r="F562" s="9" t="b">
        <v>0</v>
      </c>
    </row>
    <row r="563">
      <c r="A563" s="14"/>
      <c r="F563" s="9" t="b">
        <v>0</v>
      </c>
    </row>
    <row r="564">
      <c r="A564" s="14"/>
      <c r="F564" s="9" t="b">
        <v>0</v>
      </c>
    </row>
    <row r="565">
      <c r="A565" s="14"/>
      <c r="F565" s="9" t="b">
        <v>0</v>
      </c>
    </row>
    <row r="566">
      <c r="A566" s="14"/>
      <c r="F566" s="9" t="b">
        <v>0</v>
      </c>
    </row>
    <row r="567">
      <c r="A567" s="14"/>
      <c r="F567" s="9" t="b">
        <v>0</v>
      </c>
    </row>
    <row r="568">
      <c r="A568" s="14"/>
      <c r="F568" s="9" t="b">
        <v>0</v>
      </c>
    </row>
    <row r="569">
      <c r="A569" s="14"/>
      <c r="F569" s="9" t="b">
        <v>0</v>
      </c>
    </row>
    <row r="570">
      <c r="A570" s="14"/>
      <c r="F570" s="9" t="b">
        <v>0</v>
      </c>
    </row>
    <row r="571">
      <c r="A571" s="14"/>
      <c r="F571" s="9" t="b">
        <v>0</v>
      </c>
    </row>
    <row r="572">
      <c r="A572" s="14"/>
      <c r="F572" s="9" t="b">
        <v>0</v>
      </c>
    </row>
    <row r="573">
      <c r="A573" s="14"/>
      <c r="F573" s="9" t="b">
        <v>0</v>
      </c>
    </row>
    <row r="574">
      <c r="A574" s="14"/>
      <c r="F574" s="9" t="b">
        <v>0</v>
      </c>
    </row>
    <row r="575">
      <c r="A575" s="14"/>
      <c r="F575" s="9" t="b">
        <v>0</v>
      </c>
    </row>
    <row r="576">
      <c r="A576" s="14"/>
      <c r="F576" s="9" t="b">
        <v>0</v>
      </c>
    </row>
    <row r="577">
      <c r="A577" s="14"/>
      <c r="F577" s="9" t="b">
        <v>0</v>
      </c>
    </row>
    <row r="578">
      <c r="A578" s="14"/>
      <c r="F578" s="9" t="b">
        <v>0</v>
      </c>
    </row>
    <row r="579">
      <c r="A579" s="14"/>
      <c r="F579" s="9" t="b">
        <v>0</v>
      </c>
    </row>
    <row r="580">
      <c r="A580" s="14"/>
      <c r="F580" s="9" t="b">
        <v>0</v>
      </c>
    </row>
    <row r="581">
      <c r="A581" s="14"/>
      <c r="F581" s="9" t="b">
        <v>0</v>
      </c>
    </row>
    <row r="582">
      <c r="A582" s="14"/>
      <c r="F582" s="9" t="b">
        <v>0</v>
      </c>
    </row>
    <row r="583">
      <c r="A583" s="14"/>
      <c r="F583" s="9" t="b">
        <v>0</v>
      </c>
    </row>
    <row r="584">
      <c r="A584" s="14"/>
      <c r="F584" s="9" t="b">
        <v>0</v>
      </c>
    </row>
    <row r="585">
      <c r="A585" s="14"/>
      <c r="F585" s="9" t="b">
        <v>0</v>
      </c>
    </row>
    <row r="586">
      <c r="A586" s="14"/>
      <c r="F586" s="9" t="b">
        <v>0</v>
      </c>
    </row>
    <row r="587">
      <c r="A587" s="14"/>
      <c r="F587" s="9" t="b">
        <v>0</v>
      </c>
    </row>
    <row r="588">
      <c r="A588" s="14"/>
      <c r="F588" s="9" t="b">
        <v>0</v>
      </c>
    </row>
    <row r="589">
      <c r="A589" s="14"/>
      <c r="F589" s="9" t="b">
        <v>0</v>
      </c>
    </row>
    <row r="590">
      <c r="A590" s="14"/>
      <c r="F590" s="9" t="b">
        <v>0</v>
      </c>
    </row>
    <row r="591">
      <c r="A591" s="14"/>
      <c r="F591" s="9" t="b">
        <v>0</v>
      </c>
    </row>
    <row r="592">
      <c r="A592" s="14"/>
      <c r="F592" s="9" t="b">
        <v>0</v>
      </c>
    </row>
    <row r="593">
      <c r="A593" s="14"/>
      <c r="F593" s="9" t="b">
        <v>0</v>
      </c>
    </row>
    <row r="594">
      <c r="A594" s="14"/>
      <c r="F594" s="9" t="b">
        <v>0</v>
      </c>
    </row>
    <row r="595">
      <c r="A595" s="14"/>
      <c r="F595" s="9" t="b">
        <v>0</v>
      </c>
    </row>
    <row r="596">
      <c r="A596" s="14"/>
      <c r="F596" s="9" t="b">
        <v>0</v>
      </c>
    </row>
    <row r="597">
      <c r="A597" s="14"/>
      <c r="F597" s="9" t="b">
        <v>0</v>
      </c>
    </row>
    <row r="598">
      <c r="A598" s="14"/>
      <c r="F598" s="9" t="b">
        <v>0</v>
      </c>
    </row>
    <row r="599">
      <c r="A599" s="14"/>
      <c r="F599" s="9" t="b">
        <v>0</v>
      </c>
    </row>
    <row r="600">
      <c r="A600" s="14"/>
      <c r="F600" s="9" t="b">
        <v>0</v>
      </c>
    </row>
    <row r="601">
      <c r="A601" s="14"/>
      <c r="F601" s="9" t="b">
        <v>0</v>
      </c>
    </row>
    <row r="602">
      <c r="A602" s="14"/>
      <c r="F602" s="9" t="b">
        <v>0</v>
      </c>
    </row>
    <row r="603">
      <c r="A603" s="14"/>
      <c r="F603" s="9" t="b">
        <v>0</v>
      </c>
    </row>
    <row r="604">
      <c r="A604" s="14"/>
      <c r="F604" s="9" t="b">
        <v>0</v>
      </c>
    </row>
    <row r="605">
      <c r="A605" s="14"/>
      <c r="F605" s="9" t="b">
        <v>0</v>
      </c>
    </row>
    <row r="606">
      <c r="A606" s="14"/>
      <c r="F606" s="9" t="b">
        <v>0</v>
      </c>
    </row>
    <row r="607">
      <c r="A607" s="14"/>
      <c r="F607" s="9" t="b">
        <v>0</v>
      </c>
    </row>
    <row r="608">
      <c r="A608" s="14"/>
      <c r="F608" s="9" t="b">
        <v>0</v>
      </c>
    </row>
    <row r="609">
      <c r="A609" s="14"/>
      <c r="F609" s="9" t="b">
        <v>0</v>
      </c>
    </row>
    <row r="610">
      <c r="A610" s="14"/>
      <c r="F610" s="9" t="b">
        <v>0</v>
      </c>
    </row>
    <row r="611">
      <c r="A611" s="14"/>
      <c r="F611" s="9" t="b">
        <v>0</v>
      </c>
    </row>
    <row r="612">
      <c r="A612" s="14"/>
      <c r="F612" s="9" t="b">
        <v>0</v>
      </c>
    </row>
    <row r="613">
      <c r="A613" s="14"/>
      <c r="F613" s="9" t="b">
        <v>0</v>
      </c>
    </row>
    <row r="614">
      <c r="A614" s="14"/>
      <c r="F614" s="9" t="b">
        <v>0</v>
      </c>
    </row>
    <row r="615">
      <c r="A615" s="14"/>
      <c r="F615" s="9" t="b">
        <v>0</v>
      </c>
    </row>
    <row r="616">
      <c r="A616" s="14"/>
      <c r="F616" s="9" t="b">
        <v>0</v>
      </c>
    </row>
    <row r="617">
      <c r="A617" s="14"/>
      <c r="F617" s="9" t="b">
        <v>0</v>
      </c>
    </row>
    <row r="618">
      <c r="A618" s="14"/>
      <c r="F618" s="9" t="b">
        <v>0</v>
      </c>
    </row>
    <row r="619">
      <c r="A619" s="14"/>
      <c r="F619" s="9" t="b">
        <v>0</v>
      </c>
    </row>
    <row r="620">
      <c r="A620" s="14"/>
      <c r="F620" s="9" t="b">
        <v>0</v>
      </c>
    </row>
    <row r="621">
      <c r="A621" s="14"/>
      <c r="F621" s="9" t="b">
        <v>0</v>
      </c>
    </row>
    <row r="622">
      <c r="A622" s="14"/>
      <c r="F622" s="9" t="b">
        <v>0</v>
      </c>
    </row>
    <row r="623">
      <c r="A623" s="14"/>
      <c r="F623" s="9" t="b">
        <v>0</v>
      </c>
    </row>
    <row r="624">
      <c r="A624" s="14"/>
      <c r="F624" s="9" t="b">
        <v>0</v>
      </c>
    </row>
    <row r="625">
      <c r="A625" s="14"/>
      <c r="F625" s="9" t="b">
        <v>0</v>
      </c>
    </row>
    <row r="626">
      <c r="A626" s="14"/>
      <c r="F626" s="9" t="b">
        <v>0</v>
      </c>
    </row>
    <row r="627">
      <c r="A627" s="14"/>
      <c r="F627" s="9" t="b">
        <v>0</v>
      </c>
    </row>
    <row r="628">
      <c r="A628" s="14"/>
      <c r="F628" s="9" t="b">
        <v>0</v>
      </c>
    </row>
    <row r="629">
      <c r="A629" s="14"/>
      <c r="F629" s="9" t="b">
        <v>0</v>
      </c>
    </row>
    <row r="630">
      <c r="A630" s="14"/>
      <c r="F630" s="9" t="b">
        <v>0</v>
      </c>
    </row>
    <row r="631">
      <c r="A631" s="14"/>
      <c r="F631" s="9" t="b">
        <v>0</v>
      </c>
    </row>
    <row r="632">
      <c r="A632" s="14"/>
      <c r="F632" s="9" t="b">
        <v>0</v>
      </c>
    </row>
    <row r="633">
      <c r="A633" s="14"/>
      <c r="F633" s="9" t="b">
        <v>0</v>
      </c>
    </row>
    <row r="634">
      <c r="A634" s="14"/>
      <c r="F634" s="9" t="b">
        <v>0</v>
      </c>
    </row>
    <row r="635">
      <c r="A635" s="14"/>
      <c r="F635" s="9" t="b">
        <v>0</v>
      </c>
    </row>
    <row r="636">
      <c r="A636" s="14"/>
      <c r="F636" s="9" t="b">
        <v>0</v>
      </c>
    </row>
    <row r="637">
      <c r="A637" s="14"/>
      <c r="F637" s="9" t="b">
        <v>0</v>
      </c>
    </row>
    <row r="638">
      <c r="A638" s="14"/>
      <c r="F638" s="9" t="b">
        <v>0</v>
      </c>
    </row>
    <row r="639">
      <c r="A639" s="14"/>
      <c r="F639" s="9" t="b">
        <v>0</v>
      </c>
    </row>
    <row r="640">
      <c r="A640" s="14"/>
      <c r="F640" s="9" t="b">
        <v>0</v>
      </c>
    </row>
    <row r="641">
      <c r="A641" s="14"/>
      <c r="F641" s="9" t="b">
        <v>0</v>
      </c>
    </row>
    <row r="642">
      <c r="A642" s="14"/>
      <c r="F642" s="9" t="b">
        <v>0</v>
      </c>
    </row>
    <row r="643">
      <c r="A643" s="14"/>
      <c r="F643" s="9" t="b">
        <v>0</v>
      </c>
    </row>
    <row r="644">
      <c r="A644" s="14"/>
      <c r="F644" s="9" t="b">
        <v>0</v>
      </c>
    </row>
    <row r="645">
      <c r="A645" s="14"/>
      <c r="F645" s="9" t="b">
        <v>0</v>
      </c>
    </row>
    <row r="646">
      <c r="A646" s="14"/>
      <c r="F646" s="9" t="b">
        <v>0</v>
      </c>
    </row>
    <row r="647">
      <c r="A647" s="14"/>
      <c r="F647" s="9" t="b">
        <v>0</v>
      </c>
    </row>
    <row r="648">
      <c r="A648" s="14"/>
      <c r="F648" s="9" t="b">
        <v>0</v>
      </c>
    </row>
    <row r="649">
      <c r="A649" s="14"/>
      <c r="F649" s="9" t="b">
        <v>0</v>
      </c>
    </row>
    <row r="650">
      <c r="A650" s="14"/>
      <c r="F650" s="9" t="b">
        <v>0</v>
      </c>
    </row>
    <row r="651">
      <c r="A651" s="14"/>
      <c r="F651" s="9" t="b">
        <v>0</v>
      </c>
    </row>
    <row r="652">
      <c r="A652" s="14"/>
      <c r="F652" s="9" t="b">
        <v>0</v>
      </c>
    </row>
    <row r="653">
      <c r="A653" s="14"/>
      <c r="F653" s="9" t="b">
        <v>0</v>
      </c>
    </row>
    <row r="654">
      <c r="A654" s="14"/>
      <c r="F654" s="9" t="b">
        <v>0</v>
      </c>
    </row>
    <row r="655">
      <c r="A655" s="14"/>
      <c r="F655" s="9" t="b">
        <v>0</v>
      </c>
    </row>
    <row r="656">
      <c r="A656" s="14"/>
      <c r="F656" s="9" t="b">
        <v>0</v>
      </c>
    </row>
    <row r="657">
      <c r="A657" s="14"/>
      <c r="F657" s="9" t="b">
        <v>0</v>
      </c>
    </row>
    <row r="658">
      <c r="A658" s="14"/>
      <c r="F658" s="9" t="b">
        <v>0</v>
      </c>
    </row>
    <row r="659">
      <c r="A659" s="14"/>
      <c r="F659" s="9" t="b">
        <v>0</v>
      </c>
    </row>
    <row r="660">
      <c r="A660" s="14"/>
      <c r="F660" s="9" t="b">
        <v>0</v>
      </c>
    </row>
    <row r="661">
      <c r="A661" s="14"/>
      <c r="F661" s="9" t="b">
        <v>0</v>
      </c>
    </row>
    <row r="662">
      <c r="A662" s="14"/>
      <c r="F662" s="9" t="b">
        <v>0</v>
      </c>
    </row>
    <row r="663">
      <c r="A663" s="14"/>
      <c r="F663" s="9" t="b">
        <v>0</v>
      </c>
    </row>
    <row r="664">
      <c r="A664" s="14"/>
      <c r="F664" s="9" t="b">
        <v>0</v>
      </c>
    </row>
    <row r="665">
      <c r="A665" s="14"/>
      <c r="F665" s="9" t="b">
        <v>0</v>
      </c>
    </row>
    <row r="666">
      <c r="A666" s="14"/>
      <c r="F666" s="9" t="b">
        <v>0</v>
      </c>
    </row>
    <row r="667">
      <c r="A667" s="14"/>
      <c r="F667" s="9" t="b">
        <v>0</v>
      </c>
    </row>
    <row r="668">
      <c r="A668" s="14"/>
      <c r="F668" s="9" t="b">
        <v>0</v>
      </c>
    </row>
    <row r="669">
      <c r="A669" s="14"/>
      <c r="F669" s="9" t="b">
        <v>0</v>
      </c>
    </row>
    <row r="670">
      <c r="A670" s="14"/>
      <c r="F670" s="9" t="b">
        <v>0</v>
      </c>
    </row>
    <row r="671">
      <c r="A671" s="14"/>
      <c r="F671" s="9" t="b">
        <v>0</v>
      </c>
    </row>
    <row r="672">
      <c r="A672" s="14"/>
      <c r="F672" s="9" t="b">
        <v>0</v>
      </c>
    </row>
    <row r="673">
      <c r="A673" s="14"/>
      <c r="F673" s="9" t="b">
        <v>0</v>
      </c>
    </row>
    <row r="674">
      <c r="A674" s="14"/>
      <c r="F674" s="9" t="b">
        <v>0</v>
      </c>
    </row>
    <row r="675">
      <c r="A675" s="14"/>
      <c r="F675" s="9" t="b">
        <v>0</v>
      </c>
    </row>
    <row r="676">
      <c r="A676" s="14"/>
      <c r="F676" s="9" t="b">
        <v>0</v>
      </c>
    </row>
    <row r="677">
      <c r="A677" s="14"/>
      <c r="F677" s="9" t="b">
        <v>0</v>
      </c>
    </row>
    <row r="678">
      <c r="A678" s="14"/>
      <c r="F678" s="9" t="b">
        <v>0</v>
      </c>
    </row>
    <row r="679">
      <c r="A679" s="14"/>
      <c r="F679" s="9" t="b">
        <v>0</v>
      </c>
    </row>
    <row r="680">
      <c r="A680" s="14"/>
      <c r="F680" s="9" t="b">
        <v>0</v>
      </c>
    </row>
    <row r="681">
      <c r="A681" s="14"/>
      <c r="F681" s="9" t="b">
        <v>0</v>
      </c>
    </row>
    <row r="682">
      <c r="A682" s="14"/>
      <c r="F682" s="9" t="b">
        <v>0</v>
      </c>
    </row>
    <row r="683">
      <c r="A683" s="14"/>
      <c r="F683" s="9" t="b">
        <v>0</v>
      </c>
    </row>
    <row r="684">
      <c r="A684" s="14"/>
      <c r="F684" s="9" t="b">
        <v>0</v>
      </c>
    </row>
    <row r="685">
      <c r="A685" s="14"/>
      <c r="F685" s="9" t="b">
        <v>0</v>
      </c>
    </row>
    <row r="686">
      <c r="A686" s="14"/>
      <c r="F686" s="9" t="b">
        <v>0</v>
      </c>
    </row>
    <row r="687">
      <c r="A687" s="14"/>
      <c r="F687" s="9" t="b">
        <v>0</v>
      </c>
    </row>
    <row r="688">
      <c r="A688" s="14"/>
      <c r="F688" s="9" t="b">
        <v>0</v>
      </c>
    </row>
    <row r="689">
      <c r="A689" s="14"/>
      <c r="F689" s="9" t="b">
        <v>0</v>
      </c>
    </row>
    <row r="690">
      <c r="A690" s="14"/>
      <c r="F690" s="9" t="b">
        <v>0</v>
      </c>
    </row>
    <row r="691">
      <c r="A691" s="14"/>
      <c r="F691" s="9" t="b">
        <v>0</v>
      </c>
    </row>
    <row r="692">
      <c r="A692" s="14"/>
      <c r="F692" s="9" t="b">
        <v>0</v>
      </c>
    </row>
    <row r="693">
      <c r="A693" s="14"/>
      <c r="F693" s="9" t="b">
        <v>0</v>
      </c>
    </row>
    <row r="694">
      <c r="A694" s="14"/>
      <c r="F694" s="9" t="b">
        <v>0</v>
      </c>
    </row>
    <row r="695">
      <c r="A695" s="14"/>
      <c r="F695" s="9" t="b">
        <v>0</v>
      </c>
    </row>
    <row r="696">
      <c r="A696" s="14"/>
      <c r="F696" s="9" t="b">
        <v>0</v>
      </c>
    </row>
    <row r="697">
      <c r="A697" s="14"/>
      <c r="F697" s="9" t="b">
        <v>0</v>
      </c>
    </row>
    <row r="698">
      <c r="A698" s="14"/>
      <c r="F698" s="9" t="b">
        <v>0</v>
      </c>
    </row>
    <row r="699">
      <c r="A699" s="14"/>
      <c r="F699" s="9" t="b">
        <v>0</v>
      </c>
    </row>
    <row r="700">
      <c r="A700" s="14"/>
      <c r="F700" s="9" t="b">
        <v>0</v>
      </c>
    </row>
    <row r="701">
      <c r="A701" s="14"/>
      <c r="F701" s="9" t="b">
        <v>0</v>
      </c>
    </row>
    <row r="702">
      <c r="A702" s="14"/>
      <c r="F702" s="9" t="b">
        <v>0</v>
      </c>
    </row>
    <row r="703">
      <c r="A703" s="14"/>
      <c r="F703" s="9" t="b">
        <v>0</v>
      </c>
    </row>
    <row r="704">
      <c r="A704" s="14"/>
      <c r="F704" s="9" t="b">
        <v>0</v>
      </c>
    </row>
    <row r="705">
      <c r="A705" s="14"/>
      <c r="F705" s="9" t="b">
        <v>0</v>
      </c>
    </row>
    <row r="706">
      <c r="A706" s="14"/>
      <c r="F706" s="9" t="b">
        <v>0</v>
      </c>
    </row>
    <row r="707">
      <c r="A707" s="14"/>
      <c r="F707" s="9" t="b">
        <v>0</v>
      </c>
    </row>
    <row r="708">
      <c r="A708" s="14"/>
      <c r="F708" s="9" t="b">
        <v>0</v>
      </c>
    </row>
    <row r="709">
      <c r="A709" s="14"/>
      <c r="F709" s="9" t="b">
        <v>0</v>
      </c>
    </row>
    <row r="710">
      <c r="A710" s="14"/>
      <c r="F710" s="9" t="b">
        <v>0</v>
      </c>
    </row>
    <row r="711">
      <c r="A711" s="14"/>
      <c r="F711" s="9" t="b">
        <v>0</v>
      </c>
    </row>
    <row r="712">
      <c r="A712" s="14"/>
      <c r="F712" s="9" t="b">
        <v>0</v>
      </c>
    </row>
    <row r="713">
      <c r="A713" s="14"/>
      <c r="F713" s="9" t="b">
        <v>0</v>
      </c>
    </row>
    <row r="714">
      <c r="A714" s="14"/>
      <c r="F714" s="9" t="b">
        <v>0</v>
      </c>
    </row>
    <row r="715">
      <c r="A715" s="14"/>
      <c r="F715" s="9" t="b">
        <v>0</v>
      </c>
    </row>
    <row r="716">
      <c r="A716" s="14"/>
      <c r="F716" s="9" t="b">
        <v>0</v>
      </c>
    </row>
    <row r="717">
      <c r="A717" s="14"/>
      <c r="F717" s="9" t="b">
        <v>0</v>
      </c>
    </row>
    <row r="718">
      <c r="A718" s="14"/>
      <c r="F718" s="9" t="b">
        <v>0</v>
      </c>
    </row>
    <row r="719">
      <c r="A719" s="14"/>
      <c r="F719" s="9" t="b">
        <v>0</v>
      </c>
    </row>
    <row r="720">
      <c r="A720" s="14"/>
      <c r="F720" s="9" t="b">
        <v>0</v>
      </c>
    </row>
    <row r="721">
      <c r="A721" s="14"/>
      <c r="F721" s="9" t="b">
        <v>0</v>
      </c>
    </row>
    <row r="722">
      <c r="A722" s="14"/>
      <c r="F722" s="9" t="b">
        <v>0</v>
      </c>
    </row>
    <row r="723">
      <c r="A723" s="14"/>
      <c r="F723" s="9" t="b">
        <v>0</v>
      </c>
    </row>
    <row r="724">
      <c r="A724" s="14"/>
      <c r="F724" s="9" t="b">
        <v>0</v>
      </c>
    </row>
    <row r="725">
      <c r="A725" s="14"/>
      <c r="F725" s="9" t="b">
        <v>0</v>
      </c>
    </row>
    <row r="726">
      <c r="A726" s="14"/>
      <c r="F726" s="9" t="b">
        <v>0</v>
      </c>
    </row>
    <row r="727">
      <c r="A727" s="14"/>
      <c r="F727" s="9" t="b">
        <v>0</v>
      </c>
    </row>
    <row r="728">
      <c r="A728" s="14"/>
      <c r="F728" s="9" t="b">
        <v>0</v>
      </c>
    </row>
    <row r="729">
      <c r="A729" s="14"/>
      <c r="F729" s="9" t="b">
        <v>0</v>
      </c>
    </row>
    <row r="730">
      <c r="A730" s="14"/>
      <c r="F730" s="9" t="b">
        <v>0</v>
      </c>
    </row>
    <row r="731">
      <c r="A731" s="14"/>
      <c r="F731" s="9" t="b">
        <v>0</v>
      </c>
    </row>
    <row r="732">
      <c r="A732" s="14"/>
      <c r="F732" s="9" t="b">
        <v>0</v>
      </c>
    </row>
    <row r="733">
      <c r="A733" s="14"/>
      <c r="F733" s="9" t="b">
        <v>0</v>
      </c>
    </row>
    <row r="734">
      <c r="A734" s="14"/>
      <c r="F734" s="9" t="b">
        <v>0</v>
      </c>
    </row>
    <row r="735">
      <c r="A735" s="14"/>
      <c r="F735" s="9" t="b">
        <v>0</v>
      </c>
    </row>
    <row r="736">
      <c r="A736" s="14"/>
      <c r="F736" s="9" t="b">
        <v>0</v>
      </c>
    </row>
    <row r="737">
      <c r="A737" s="14"/>
      <c r="F737" s="9" t="b">
        <v>0</v>
      </c>
    </row>
    <row r="738">
      <c r="A738" s="14"/>
      <c r="F738" s="9" t="b">
        <v>0</v>
      </c>
    </row>
    <row r="739">
      <c r="A739" s="14"/>
      <c r="F739" s="9" t="b">
        <v>0</v>
      </c>
    </row>
    <row r="740">
      <c r="A740" s="14"/>
      <c r="F740" s="9" t="b">
        <v>0</v>
      </c>
    </row>
    <row r="741">
      <c r="A741" s="14"/>
      <c r="F741" s="9" t="b">
        <v>0</v>
      </c>
    </row>
    <row r="742">
      <c r="A742" s="14"/>
      <c r="F742" s="9" t="b">
        <v>0</v>
      </c>
    </row>
    <row r="743">
      <c r="A743" s="14"/>
      <c r="F743" s="9" t="b">
        <v>0</v>
      </c>
    </row>
    <row r="744">
      <c r="A744" s="14"/>
      <c r="F744" s="9" t="b">
        <v>0</v>
      </c>
    </row>
    <row r="745">
      <c r="A745" s="14"/>
      <c r="F745" s="9" t="b">
        <v>0</v>
      </c>
    </row>
    <row r="746">
      <c r="A746" s="14"/>
      <c r="F746" s="9" t="b">
        <v>0</v>
      </c>
    </row>
    <row r="747">
      <c r="A747" s="14"/>
      <c r="F747" s="9" t="b">
        <v>0</v>
      </c>
    </row>
    <row r="748">
      <c r="A748" s="14"/>
      <c r="F748" s="9" t="b">
        <v>0</v>
      </c>
    </row>
    <row r="749">
      <c r="A749" s="14"/>
      <c r="F749" s="9" t="b">
        <v>0</v>
      </c>
    </row>
    <row r="750">
      <c r="A750" s="14"/>
      <c r="F750" s="9" t="b">
        <v>0</v>
      </c>
    </row>
    <row r="751">
      <c r="A751" s="14"/>
      <c r="F751" s="9" t="b">
        <v>0</v>
      </c>
    </row>
    <row r="752">
      <c r="A752" s="14"/>
      <c r="F752" s="9" t="b">
        <v>0</v>
      </c>
    </row>
    <row r="753">
      <c r="A753" s="14"/>
      <c r="F753" s="9" t="b">
        <v>0</v>
      </c>
    </row>
    <row r="754">
      <c r="A754" s="14"/>
      <c r="F754" s="9" t="b">
        <v>0</v>
      </c>
    </row>
    <row r="755">
      <c r="A755" s="14"/>
      <c r="F755" s="9" t="b">
        <v>0</v>
      </c>
    </row>
    <row r="756">
      <c r="A756" s="14"/>
      <c r="F756" s="9" t="b">
        <v>0</v>
      </c>
    </row>
    <row r="757">
      <c r="A757" s="14"/>
      <c r="F757" s="9" t="b">
        <v>0</v>
      </c>
    </row>
    <row r="758">
      <c r="A758" s="14"/>
      <c r="F758" s="9" t="b">
        <v>0</v>
      </c>
    </row>
    <row r="759">
      <c r="A759" s="14"/>
      <c r="F759" s="9" t="b">
        <v>0</v>
      </c>
    </row>
    <row r="760">
      <c r="A760" s="14"/>
      <c r="F760" s="9" t="b">
        <v>0</v>
      </c>
    </row>
    <row r="761">
      <c r="A761" s="14"/>
      <c r="F761" s="9" t="b">
        <v>0</v>
      </c>
    </row>
    <row r="762">
      <c r="A762" s="14"/>
      <c r="F762" s="9" t="b">
        <v>0</v>
      </c>
    </row>
    <row r="763">
      <c r="A763" s="14"/>
      <c r="F763" s="9" t="b">
        <v>0</v>
      </c>
    </row>
    <row r="764">
      <c r="A764" s="14"/>
      <c r="F764" s="9" t="b">
        <v>0</v>
      </c>
    </row>
    <row r="765">
      <c r="A765" s="14"/>
      <c r="F765" s="9" t="b">
        <v>0</v>
      </c>
    </row>
    <row r="766">
      <c r="A766" s="14"/>
      <c r="F766" s="9" t="b">
        <v>0</v>
      </c>
    </row>
    <row r="767">
      <c r="A767" s="14"/>
      <c r="F767" s="9" t="b">
        <v>0</v>
      </c>
    </row>
    <row r="768">
      <c r="A768" s="14"/>
      <c r="F768" s="9" t="b">
        <v>0</v>
      </c>
    </row>
    <row r="769">
      <c r="A769" s="14"/>
      <c r="F769" s="9" t="b">
        <v>0</v>
      </c>
    </row>
    <row r="770">
      <c r="A770" s="14"/>
      <c r="F770" s="9" t="b">
        <v>0</v>
      </c>
    </row>
    <row r="771">
      <c r="A771" s="14"/>
      <c r="F771" s="9" t="b">
        <v>0</v>
      </c>
    </row>
    <row r="772">
      <c r="A772" s="14"/>
      <c r="F772" s="9" t="b">
        <v>0</v>
      </c>
    </row>
    <row r="773">
      <c r="A773" s="14"/>
      <c r="F773" s="9" t="b">
        <v>0</v>
      </c>
    </row>
    <row r="774">
      <c r="A774" s="14"/>
      <c r="F774" s="9" t="b">
        <v>0</v>
      </c>
    </row>
    <row r="775">
      <c r="A775" s="14"/>
      <c r="F775" s="9" t="b">
        <v>0</v>
      </c>
    </row>
    <row r="776">
      <c r="A776" s="14"/>
      <c r="F776" s="9" t="b">
        <v>0</v>
      </c>
    </row>
    <row r="777">
      <c r="A777" s="14"/>
      <c r="F777" s="9" t="b">
        <v>0</v>
      </c>
    </row>
    <row r="778">
      <c r="A778" s="14"/>
      <c r="F778" s="9" t="b">
        <v>0</v>
      </c>
    </row>
    <row r="779">
      <c r="A779" s="14"/>
      <c r="F779" s="9" t="b">
        <v>0</v>
      </c>
    </row>
    <row r="780">
      <c r="A780" s="14"/>
      <c r="F780" s="9" t="b">
        <v>0</v>
      </c>
    </row>
    <row r="781">
      <c r="A781" s="14"/>
      <c r="F781" s="9" t="b">
        <v>0</v>
      </c>
    </row>
    <row r="782">
      <c r="A782" s="14"/>
      <c r="F782" s="9" t="b">
        <v>0</v>
      </c>
    </row>
    <row r="783">
      <c r="A783" s="14"/>
      <c r="F783" s="9" t="b">
        <v>0</v>
      </c>
    </row>
    <row r="784">
      <c r="A784" s="14"/>
      <c r="F784" s="9" t="b">
        <v>0</v>
      </c>
    </row>
    <row r="785">
      <c r="A785" s="14"/>
      <c r="F785" s="9" t="b">
        <v>0</v>
      </c>
    </row>
    <row r="786">
      <c r="A786" s="14"/>
      <c r="F786" s="9" t="b">
        <v>0</v>
      </c>
    </row>
    <row r="787">
      <c r="A787" s="14"/>
      <c r="F787" s="9" t="b">
        <v>0</v>
      </c>
    </row>
    <row r="788">
      <c r="A788" s="14"/>
      <c r="F788" s="9" t="b">
        <v>0</v>
      </c>
    </row>
    <row r="789">
      <c r="A789" s="14"/>
      <c r="F789" s="9" t="b">
        <v>0</v>
      </c>
    </row>
    <row r="790">
      <c r="A790" s="14"/>
      <c r="F790" s="9" t="b">
        <v>0</v>
      </c>
    </row>
    <row r="791">
      <c r="A791" s="14"/>
      <c r="F791" s="9" t="b">
        <v>0</v>
      </c>
    </row>
    <row r="792">
      <c r="A792" s="14"/>
      <c r="F792" s="9" t="b">
        <v>0</v>
      </c>
    </row>
    <row r="793">
      <c r="A793" s="14"/>
      <c r="F793" s="9" t="b">
        <v>0</v>
      </c>
    </row>
    <row r="794">
      <c r="A794" s="14"/>
      <c r="F794" s="9" t="b">
        <v>0</v>
      </c>
    </row>
    <row r="795">
      <c r="A795" s="14"/>
      <c r="F795" s="9" t="b">
        <v>0</v>
      </c>
    </row>
    <row r="796">
      <c r="A796" s="14"/>
      <c r="F796" s="9" t="b">
        <v>0</v>
      </c>
    </row>
    <row r="797">
      <c r="A797" s="14"/>
      <c r="F797" s="9" t="b">
        <v>0</v>
      </c>
    </row>
    <row r="798">
      <c r="A798" s="14"/>
      <c r="F798" s="9" t="b">
        <v>0</v>
      </c>
    </row>
    <row r="799">
      <c r="A799" s="14"/>
      <c r="F799" s="9" t="b">
        <v>0</v>
      </c>
    </row>
    <row r="800">
      <c r="A800" s="14"/>
      <c r="F800" s="9" t="b">
        <v>0</v>
      </c>
    </row>
    <row r="801">
      <c r="A801" s="14"/>
      <c r="F801" s="9" t="b">
        <v>0</v>
      </c>
    </row>
    <row r="802">
      <c r="A802" s="14"/>
      <c r="F802" s="9" t="b">
        <v>0</v>
      </c>
    </row>
    <row r="803">
      <c r="A803" s="14"/>
      <c r="F803" s="9" t="b">
        <v>0</v>
      </c>
    </row>
    <row r="804">
      <c r="A804" s="14"/>
      <c r="F804" s="9" t="b">
        <v>0</v>
      </c>
    </row>
    <row r="805">
      <c r="A805" s="14"/>
      <c r="F805" s="9" t="b">
        <v>0</v>
      </c>
    </row>
    <row r="806">
      <c r="A806" s="14"/>
      <c r="F806" s="9" t="b">
        <v>0</v>
      </c>
    </row>
    <row r="807">
      <c r="A807" s="14"/>
      <c r="F807" s="9" t="b">
        <v>0</v>
      </c>
    </row>
    <row r="808">
      <c r="A808" s="14"/>
      <c r="F808" s="9" t="b">
        <v>0</v>
      </c>
    </row>
    <row r="809">
      <c r="A809" s="14"/>
      <c r="F809" s="9" t="b">
        <v>0</v>
      </c>
    </row>
    <row r="810">
      <c r="A810" s="14"/>
      <c r="F810" s="9" t="b">
        <v>0</v>
      </c>
    </row>
    <row r="811">
      <c r="A811" s="14"/>
      <c r="F811" s="9" t="b">
        <v>0</v>
      </c>
    </row>
    <row r="812">
      <c r="A812" s="14"/>
      <c r="F812" s="9" t="b">
        <v>0</v>
      </c>
    </row>
    <row r="813">
      <c r="A813" s="14"/>
      <c r="F813" s="9" t="b">
        <v>0</v>
      </c>
    </row>
    <row r="814">
      <c r="A814" s="14"/>
      <c r="F814" s="9" t="b">
        <v>0</v>
      </c>
    </row>
    <row r="815">
      <c r="A815" s="14"/>
      <c r="F815" s="9" t="b">
        <v>0</v>
      </c>
    </row>
    <row r="816">
      <c r="A816" s="14"/>
      <c r="F816" s="9" t="b">
        <v>0</v>
      </c>
    </row>
    <row r="817">
      <c r="A817" s="14"/>
      <c r="F817" s="9" t="b">
        <v>0</v>
      </c>
    </row>
    <row r="818">
      <c r="A818" s="14"/>
      <c r="F818" s="9" t="b">
        <v>0</v>
      </c>
    </row>
    <row r="819">
      <c r="A819" s="14"/>
      <c r="F819" s="9" t="b">
        <v>0</v>
      </c>
    </row>
    <row r="820">
      <c r="A820" s="14"/>
      <c r="F820" s="9" t="b">
        <v>0</v>
      </c>
    </row>
    <row r="821">
      <c r="A821" s="14"/>
      <c r="F821" s="9" t="b">
        <v>0</v>
      </c>
    </row>
    <row r="822">
      <c r="A822" s="14"/>
      <c r="F822" s="9" t="b">
        <v>0</v>
      </c>
    </row>
    <row r="823">
      <c r="A823" s="14"/>
      <c r="F823" s="9" t="b">
        <v>0</v>
      </c>
    </row>
    <row r="824">
      <c r="A824" s="14"/>
      <c r="F824" s="9" t="b">
        <v>0</v>
      </c>
    </row>
    <row r="825">
      <c r="A825" s="14"/>
      <c r="F825" s="9" t="b">
        <v>0</v>
      </c>
    </row>
    <row r="826">
      <c r="A826" s="14"/>
      <c r="F826" s="9" t="b">
        <v>0</v>
      </c>
    </row>
    <row r="827">
      <c r="A827" s="14"/>
      <c r="F827" s="9" t="b">
        <v>0</v>
      </c>
    </row>
    <row r="828">
      <c r="A828" s="14"/>
      <c r="F828" s="9" t="b">
        <v>0</v>
      </c>
    </row>
    <row r="829">
      <c r="A829" s="14"/>
      <c r="F829" s="9" t="b">
        <v>0</v>
      </c>
    </row>
    <row r="830">
      <c r="A830" s="14"/>
      <c r="F830" s="9" t="b">
        <v>0</v>
      </c>
    </row>
    <row r="831">
      <c r="A831" s="14"/>
      <c r="F831" s="9" t="b">
        <v>0</v>
      </c>
    </row>
    <row r="832">
      <c r="A832" s="14"/>
      <c r="F832" s="9" t="b">
        <v>0</v>
      </c>
    </row>
    <row r="833">
      <c r="A833" s="14"/>
      <c r="F833" s="9" t="b">
        <v>0</v>
      </c>
    </row>
    <row r="834">
      <c r="A834" s="14"/>
      <c r="F834" s="9" t="b">
        <v>0</v>
      </c>
    </row>
    <row r="835">
      <c r="A835" s="14"/>
      <c r="F835" s="9" t="b">
        <v>0</v>
      </c>
    </row>
    <row r="836">
      <c r="A836" s="14"/>
      <c r="F836" s="9" t="b">
        <v>0</v>
      </c>
    </row>
    <row r="837">
      <c r="A837" s="14"/>
      <c r="F837" s="9" t="b">
        <v>0</v>
      </c>
    </row>
    <row r="838">
      <c r="A838" s="14"/>
      <c r="F838" s="9" t="b">
        <v>0</v>
      </c>
    </row>
    <row r="839">
      <c r="A839" s="14"/>
      <c r="F839" s="9" t="b">
        <v>0</v>
      </c>
    </row>
    <row r="840">
      <c r="A840" s="14"/>
      <c r="F840" s="9" t="b">
        <v>0</v>
      </c>
    </row>
    <row r="841">
      <c r="A841" s="14"/>
      <c r="F841" s="9" t="b">
        <v>0</v>
      </c>
    </row>
    <row r="842">
      <c r="A842" s="14"/>
      <c r="F842" s="9" t="b">
        <v>0</v>
      </c>
    </row>
    <row r="843">
      <c r="A843" s="14"/>
      <c r="F843" s="9" t="b">
        <v>0</v>
      </c>
    </row>
    <row r="844">
      <c r="A844" s="14"/>
      <c r="F844" s="9" t="b">
        <v>0</v>
      </c>
    </row>
    <row r="845">
      <c r="A845" s="14"/>
      <c r="F845" s="9" t="b">
        <v>0</v>
      </c>
    </row>
    <row r="846">
      <c r="A846" s="14"/>
      <c r="F846" s="9" t="b">
        <v>0</v>
      </c>
    </row>
    <row r="847">
      <c r="A847" s="14"/>
      <c r="F847" s="9" t="b">
        <v>0</v>
      </c>
    </row>
    <row r="848">
      <c r="A848" s="14"/>
      <c r="F848" s="9" t="b">
        <v>0</v>
      </c>
    </row>
    <row r="849">
      <c r="A849" s="14"/>
      <c r="F849" s="9" t="b">
        <v>0</v>
      </c>
    </row>
    <row r="850">
      <c r="A850" s="14"/>
      <c r="F850" s="9" t="b">
        <v>0</v>
      </c>
    </row>
    <row r="851">
      <c r="A851" s="14"/>
      <c r="F851" s="9" t="b">
        <v>0</v>
      </c>
    </row>
    <row r="852">
      <c r="A852" s="14"/>
      <c r="F852" s="9" t="b">
        <v>0</v>
      </c>
    </row>
    <row r="853">
      <c r="A853" s="14"/>
      <c r="F853" s="9" t="b">
        <v>0</v>
      </c>
    </row>
    <row r="854">
      <c r="A854" s="14"/>
      <c r="F854" s="9" t="b">
        <v>0</v>
      </c>
    </row>
    <row r="855">
      <c r="A855" s="14"/>
      <c r="F855" s="9" t="b">
        <v>0</v>
      </c>
    </row>
    <row r="856">
      <c r="A856" s="14"/>
      <c r="F856" s="9" t="b">
        <v>0</v>
      </c>
    </row>
    <row r="857">
      <c r="A857" s="14"/>
      <c r="F857" s="9" t="b">
        <v>0</v>
      </c>
    </row>
    <row r="858">
      <c r="A858" s="14"/>
      <c r="F858" s="9" t="b">
        <v>0</v>
      </c>
    </row>
    <row r="859">
      <c r="A859" s="14"/>
      <c r="F859" s="9" t="b">
        <v>0</v>
      </c>
    </row>
    <row r="860">
      <c r="A860" s="14"/>
      <c r="F860" s="9" t="b">
        <v>0</v>
      </c>
    </row>
    <row r="861">
      <c r="A861" s="14"/>
      <c r="F861" s="9" t="b">
        <v>0</v>
      </c>
    </row>
    <row r="862">
      <c r="A862" s="14"/>
      <c r="F862" s="9" t="b">
        <v>0</v>
      </c>
    </row>
    <row r="863">
      <c r="A863" s="14"/>
      <c r="F863" s="9" t="b">
        <v>0</v>
      </c>
    </row>
    <row r="864">
      <c r="A864" s="14"/>
      <c r="F864" s="9" t="b">
        <v>0</v>
      </c>
    </row>
    <row r="865">
      <c r="A865" s="14"/>
      <c r="F865" s="9" t="b">
        <v>0</v>
      </c>
    </row>
    <row r="866">
      <c r="A866" s="14"/>
      <c r="F866" s="9" t="b">
        <v>0</v>
      </c>
    </row>
    <row r="867">
      <c r="A867" s="14"/>
      <c r="F867" s="9" t="b">
        <v>0</v>
      </c>
    </row>
    <row r="868">
      <c r="A868" s="14"/>
      <c r="F868" s="9" t="b">
        <v>0</v>
      </c>
    </row>
    <row r="869">
      <c r="A869" s="14"/>
      <c r="F869" s="9" t="b">
        <v>0</v>
      </c>
    </row>
    <row r="870">
      <c r="A870" s="14"/>
      <c r="F870" s="9" t="b">
        <v>0</v>
      </c>
    </row>
    <row r="871">
      <c r="A871" s="14"/>
      <c r="F871" s="9" t="b">
        <v>0</v>
      </c>
    </row>
    <row r="872">
      <c r="A872" s="14"/>
      <c r="F872" s="9" t="b">
        <v>0</v>
      </c>
    </row>
    <row r="873">
      <c r="A873" s="14"/>
      <c r="F873" s="9" t="b">
        <v>0</v>
      </c>
    </row>
    <row r="874">
      <c r="A874" s="14"/>
      <c r="F874" s="9" t="b">
        <v>0</v>
      </c>
    </row>
    <row r="875">
      <c r="A875" s="14"/>
      <c r="F875" s="9" t="b">
        <v>0</v>
      </c>
    </row>
    <row r="876">
      <c r="A876" s="14"/>
      <c r="F876" s="9" t="b">
        <v>0</v>
      </c>
    </row>
    <row r="877">
      <c r="A877" s="14"/>
      <c r="F877" s="9" t="b">
        <v>0</v>
      </c>
    </row>
    <row r="878">
      <c r="A878" s="14"/>
      <c r="F878" s="9" t="b">
        <v>0</v>
      </c>
    </row>
    <row r="879">
      <c r="A879" s="14"/>
      <c r="F879" s="9" t="b">
        <v>0</v>
      </c>
    </row>
    <row r="880">
      <c r="A880" s="14"/>
      <c r="F880" s="9" t="b">
        <v>0</v>
      </c>
    </row>
    <row r="881">
      <c r="A881" s="14"/>
      <c r="F881" s="9" t="b">
        <v>0</v>
      </c>
    </row>
    <row r="882">
      <c r="A882" s="14"/>
      <c r="F882" s="9" t="b">
        <v>0</v>
      </c>
    </row>
    <row r="883">
      <c r="A883" s="14"/>
      <c r="F883" s="9" t="b">
        <v>0</v>
      </c>
    </row>
    <row r="884">
      <c r="A884" s="14"/>
      <c r="F884" s="9" t="b">
        <v>0</v>
      </c>
    </row>
    <row r="885">
      <c r="A885" s="14"/>
      <c r="F885" s="9" t="b">
        <v>0</v>
      </c>
    </row>
    <row r="886">
      <c r="A886" s="14"/>
      <c r="F886" s="9" t="b">
        <v>0</v>
      </c>
    </row>
    <row r="887">
      <c r="A887" s="14"/>
      <c r="F887" s="9" t="b">
        <v>0</v>
      </c>
    </row>
    <row r="888">
      <c r="A888" s="14"/>
      <c r="F888" s="9" t="b">
        <v>0</v>
      </c>
    </row>
    <row r="889">
      <c r="A889" s="14"/>
      <c r="F889" s="9" t="b">
        <v>0</v>
      </c>
    </row>
    <row r="890">
      <c r="A890" s="14"/>
      <c r="F890" s="9" t="b">
        <v>0</v>
      </c>
    </row>
    <row r="891">
      <c r="A891" s="14"/>
      <c r="F891" s="9" t="b">
        <v>0</v>
      </c>
    </row>
    <row r="892">
      <c r="A892" s="14"/>
      <c r="F892" s="9" t="b">
        <v>0</v>
      </c>
    </row>
    <row r="893">
      <c r="A893" s="14"/>
      <c r="F893" s="9" t="b">
        <v>0</v>
      </c>
    </row>
    <row r="894">
      <c r="A894" s="14"/>
      <c r="F894" s="9" t="b">
        <v>0</v>
      </c>
    </row>
    <row r="895">
      <c r="A895" s="14"/>
      <c r="F895" s="9" t="b">
        <v>0</v>
      </c>
    </row>
    <row r="896">
      <c r="A896" s="14"/>
      <c r="F896" s="9" t="b">
        <v>0</v>
      </c>
    </row>
    <row r="897">
      <c r="A897" s="14"/>
      <c r="F897" s="9" t="b">
        <v>0</v>
      </c>
    </row>
    <row r="898">
      <c r="A898" s="14"/>
      <c r="F898" s="9" t="b">
        <v>0</v>
      </c>
    </row>
    <row r="899">
      <c r="A899" s="14"/>
      <c r="F899" s="9" t="b">
        <v>0</v>
      </c>
    </row>
    <row r="900">
      <c r="A900" s="14"/>
      <c r="F900" s="9" t="b">
        <v>0</v>
      </c>
    </row>
    <row r="901">
      <c r="A901" s="14"/>
      <c r="F901" s="9" t="b">
        <v>0</v>
      </c>
    </row>
    <row r="902">
      <c r="A902" s="14"/>
      <c r="F902" s="9" t="b">
        <v>0</v>
      </c>
    </row>
    <row r="903">
      <c r="A903" s="14"/>
      <c r="F903" s="9" t="b">
        <v>0</v>
      </c>
    </row>
    <row r="904">
      <c r="A904" s="14"/>
      <c r="F904" s="9" t="b">
        <v>0</v>
      </c>
    </row>
    <row r="905">
      <c r="A905" s="14"/>
      <c r="F905" s="9" t="b">
        <v>0</v>
      </c>
    </row>
    <row r="906">
      <c r="A906" s="14"/>
      <c r="F906" s="9" t="b">
        <v>0</v>
      </c>
    </row>
    <row r="907">
      <c r="A907" s="14"/>
      <c r="F907" s="9" t="b">
        <v>0</v>
      </c>
    </row>
    <row r="908">
      <c r="A908" s="14"/>
      <c r="F908" s="9" t="b">
        <v>0</v>
      </c>
    </row>
    <row r="909">
      <c r="A909" s="14"/>
      <c r="F909" s="9" t="b">
        <v>0</v>
      </c>
    </row>
    <row r="910">
      <c r="A910" s="14"/>
      <c r="F910" s="9" t="b">
        <v>0</v>
      </c>
    </row>
    <row r="911">
      <c r="A911" s="14"/>
      <c r="F911" s="9" t="b">
        <v>0</v>
      </c>
    </row>
    <row r="912">
      <c r="A912" s="14"/>
      <c r="F912" s="9" t="b">
        <v>0</v>
      </c>
    </row>
    <row r="913">
      <c r="A913" s="14"/>
      <c r="F913" s="9" t="b">
        <v>0</v>
      </c>
    </row>
    <row r="914">
      <c r="A914" s="14"/>
      <c r="F914" s="9" t="b">
        <v>0</v>
      </c>
    </row>
    <row r="915">
      <c r="A915" s="14"/>
      <c r="F915" s="9" t="b">
        <v>0</v>
      </c>
    </row>
    <row r="916">
      <c r="A916" s="14"/>
      <c r="F916" s="9" t="b">
        <v>0</v>
      </c>
    </row>
    <row r="917">
      <c r="A917" s="14"/>
      <c r="F917" s="9" t="b">
        <v>0</v>
      </c>
    </row>
    <row r="918">
      <c r="A918" s="14"/>
      <c r="F918" s="9" t="b">
        <v>0</v>
      </c>
    </row>
    <row r="919">
      <c r="A919" s="14"/>
      <c r="F919" s="9" t="b">
        <v>0</v>
      </c>
    </row>
    <row r="920">
      <c r="A920" s="14"/>
      <c r="F920" s="9" t="b">
        <v>0</v>
      </c>
    </row>
    <row r="921">
      <c r="A921" s="14"/>
      <c r="F921" s="9" t="b">
        <v>0</v>
      </c>
    </row>
    <row r="922">
      <c r="A922" s="14"/>
      <c r="F922" s="9" t="b">
        <v>0</v>
      </c>
    </row>
    <row r="923">
      <c r="A923" s="14"/>
      <c r="F923" s="9" t="b">
        <v>0</v>
      </c>
    </row>
    <row r="924">
      <c r="A924" s="14"/>
      <c r="F924" s="9" t="b">
        <v>0</v>
      </c>
    </row>
    <row r="925">
      <c r="A925" s="14"/>
      <c r="F925" s="9" t="b">
        <v>0</v>
      </c>
    </row>
    <row r="926">
      <c r="A926" s="14"/>
      <c r="F926" s="9" t="b">
        <v>0</v>
      </c>
    </row>
    <row r="927">
      <c r="A927" s="14"/>
      <c r="F927" s="9" t="b">
        <v>0</v>
      </c>
    </row>
    <row r="928">
      <c r="A928" s="14"/>
      <c r="F928" s="9" t="b">
        <v>0</v>
      </c>
    </row>
  </sheetData>
  <mergeCells count="6">
    <mergeCell ref="A1:A2"/>
    <mergeCell ref="B1:B2"/>
    <mergeCell ref="C1:C2"/>
    <mergeCell ref="D1:D2"/>
    <mergeCell ref="E1:E2"/>
    <mergeCell ref="F1:F2"/>
  </mergeCells>
  <hyperlinks>
    <hyperlink r:id="rId2" ref="A9"/>
    <hyperlink r:id="rId3" ref="A16"/>
    <hyperlink r:id="rId4" location="gid=0" ref="A35"/>
    <hyperlink r:id="rId5" ref="A57"/>
    <hyperlink r:id="rId6" ref="A62"/>
    <hyperlink r:id="rId7" ref="A70"/>
    <hyperlink r:id="rId8" ref="A71"/>
    <hyperlink r:id="rId9" ref="A106"/>
  </hyperlin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13"/>
  </cols>
  <sheetData>
    <row r="1">
      <c r="A1" s="5" t="s">
        <v>113</v>
      </c>
    </row>
    <row r="2">
      <c r="A2" s="5" t="s">
        <v>114</v>
      </c>
    </row>
    <row r="3">
      <c r="A3" s="6" t="s">
        <v>115</v>
      </c>
      <c r="B3" s="5">
        <v>9.0</v>
      </c>
      <c r="C3" s="5" t="s">
        <v>13</v>
      </c>
      <c r="D3" s="5" t="s">
        <v>9</v>
      </c>
      <c r="E3" s="5">
        <v>0.0</v>
      </c>
    </row>
    <row r="4">
      <c r="A4" s="11" t="s">
        <v>116</v>
      </c>
      <c r="B4" s="5">
        <v>9.0</v>
      </c>
      <c r="C4" s="5" t="s">
        <v>9</v>
      </c>
      <c r="D4" s="5" t="s">
        <v>11</v>
      </c>
      <c r="E4" s="5">
        <v>1.0</v>
      </c>
    </row>
    <row r="5">
      <c r="A5" s="6" t="s">
        <v>117</v>
      </c>
      <c r="B5" s="5">
        <v>9.0</v>
      </c>
      <c r="C5" s="5" t="s">
        <v>9</v>
      </c>
      <c r="D5" s="5" t="s">
        <v>9</v>
      </c>
      <c r="E5" s="5">
        <v>0.0</v>
      </c>
    </row>
    <row r="6">
      <c r="A6" s="6" t="s">
        <v>118</v>
      </c>
      <c r="B6" s="5">
        <v>9.0</v>
      </c>
      <c r="C6" s="5" t="s">
        <v>9</v>
      </c>
      <c r="D6" s="5" t="s">
        <v>9</v>
      </c>
      <c r="E6" s="5">
        <v>1.0</v>
      </c>
    </row>
    <row r="7">
      <c r="A7" s="6" t="s">
        <v>119</v>
      </c>
      <c r="B7" s="5">
        <v>2.0</v>
      </c>
      <c r="C7" s="5" t="s">
        <v>13</v>
      </c>
      <c r="D7" s="5" t="s">
        <v>9</v>
      </c>
      <c r="E7" s="5">
        <v>0.0</v>
      </c>
    </row>
    <row r="8">
      <c r="A8" s="6" t="s">
        <v>120</v>
      </c>
      <c r="B8" s="5">
        <v>7.0</v>
      </c>
      <c r="C8" s="5" t="s">
        <v>9</v>
      </c>
      <c r="D8" s="5" t="s">
        <v>9</v>
      </c>
      <c r="E8" s="5">
        <v>0.0</v>
      </c>
    </row>
    <row r="9">
      <c r="A9" s="10" t="s">
        <v>121</v>
      </c>
      <c r="B9" s="5">
        <v>5.0</v>
      </c>
      <c r="C9" s="5" t="s">
        <v>13</v>
      </c>
      <c r="D9" s="5" t="s">
        <v>9</v>
      </c>
      <c r="E9" s="5">
        <v>0.0</v>
      </c>
    </row>
    <row r="10">
      <c r="A10" s="6" t="s">
        <v>122</v>
      </c>
      <c r="B10" s="5">
        <v>9.0</v>
      </c>
      <c r="C10" s="5" t="s">
        <v>9</v>
      </c>
      <c r="D10" s="5" t="s">
        <v>9</v>
      </c>
      <c r="E10" s="5">
        <v>0.0</v>
      </c>
    </row>
    <row r="11">
      <c r="A11" s="6" t="s">
        <v>123</v>
      </c>
      <c r="B11" s="5">
        <v>5.0</v>
      </c>
      <c r="C11" s="5" t="s">
        <v>13</v>
      </c>
      <c r="D11" s="5" t="s">
        <v>13</v>
      </c>
      <c r="E11" s="5">
        <v>0.0</v>
      </c>
    </row>
    <row r="12">
      <c r="A12" s="6" t="s">
        <v>124</v>
      </c>
      <c r="B12" s="5">
        <v>9.0</v>
      </c>
    </row>
    <row r="13">
      <c r="A13" s="6" t="s">
        <v>125</v>
      </c>
      <c r="B13" s="5">
        <v>9.0</v>
      </c>
      <c r="C13" s="5" t="s">
        <v>13</v>
      </c>
      <c r="D13" s="5" t="s">
        <v>9</v>
      </c>
      <c r="E13" s="5">
        <v>1.0</v>
      </c>
    </row>
    <row r="14">
      <c r="A14" s="10" t="s">
        <v>126</v>
      </c>
      <c r="B14" s="5">
        <v>5.0</v>
      </c>
      <c r="C14" s="5" t="s">
        <v>9</v>
      </c>
      <c r="D14" s="5" t="s">
        <v>9</v>
      </c>
      <c r="E14" s="5">
        <v>0.0</v>
      </c>
    </row>
    <row r="15">
      <c r="A15" s="5" t="s">
        <v>127</v>
      </c>
      <c r="B15" s="5">
        <v>6.0</v>
      </c>
      <c r="C15" s="5" t="s">
        <v>9</v>
      </c>
      <c r="D15" s="5" t="s">
        <v>9</v>
      </c>
      <c r="E15" s="5">
        <v>0.0</v>
      </c>
    </row>
    <row r="16">
      <c r="A16" s="5" t="s">
        <v>128</v>
      </c>
      <c r="B16" s="5">
        <f>MIN(10, ROUND((26 - INT("8/11/2023" - NOW())) * (10/26),1))</f>
        <v>10</v>
      </c>
      <c r="C16" s="5" t="s">
        <v>13</v>
      </c>
      <c r="D16" s="5" t="s">
        <v>9</v>
      </c>
      <c r="E16" s="5">
        <v>0.0</v>
      </c>
    </row>
    <row r="17">
      <c r="A17" s="6" t="s">
        <v>129</v>
      </c>
      <c r="B17" s="5">
        <v>3.0</v>
      </c>
      <c r="C17" s="5" t="s">
        <v>9</v>
      </c>
      <c r="D17" s="5" t="s">
        <v>9</v>
      </c>
      <c r="E17" s="5">
        <v>0.0</v>
      </c>
    </row>
    <row r="18">
      <c r="A18" s="6" t="s">
        <v>130</v>
      </c>
      <c r="B18" s="5">
        <v>9.0</v>
      </c>
      <c r="C18" s="5" t="s">
        <v>9</v>
      </c>
      <c r="D18" s="5" t="s">
        <v>8</v>
      </c>
      <c r="E18" s="5">
        <v>1.0</v>
      </c>
    </row>
    <row r="19">
      <c r="A19" s="6" t="s">
        <v>131</v>
      </c>
      <c r="B19" s="5">
        <v>5.0</v>
      </c>
      <c r="C19" s="5" t="s">
        <v>13</v>
      </c>
      <c r="D19" s="5" t="s">
        <v>9</v>
      </c>
      <c r="E19" s="5">
        <v>0.0</v>
      </c>
    </row>
    <row r="20">
      <c r="A20" s="6" t="s">
        <v>132</v>
      </c>
      <c r="B20" s="5">
        <v>5.0</v>
      </c>
      <c r="C20" s="5" t="s">
        <v>13</v>
      </c>
      <c r="D20" s="5" t="s">
        <v>13</v>
      </c>
      <c r="E20" s="5">
        <v>0.0</v>
      </c>
    </row>
    <row r="21">
      <c r="A21" s="6" t="s">
        <v>133</v>
      </c>
      <c r="B21" s="5">
        <v>6.0</v>
      </c>
      <c r="C21" s="5" t="s">
        <v>13</v>
      </c>
      <c r="D21" s="5" t="s">
        <v>13</v>
      </c>
      <c r="E21" s="5">
        <v>0.0</v>
      </c>
    </row>
    <row r="22">
      <c r="A22" s="6" t="s">
        <v>134</v>
      </c>
      <c r="B22" s="5">
        <v>6.0</v>
      </c>
      <c r="C22" s="5" t="s">
        <v>13</v>
      </c>
      <c r="D22" s="5" t="s">
        <v>9</v>
      </c>
      <c r="E22" s="5">
        <v>1.0</v>
      </c>
    </row>
    <row r="23">
      <c r="A23" s="10" t="s">
        <v>135</v>
      </c>
      <c r="B23" s="5">
        <v>6.0</v>
      </c>
      <c r="C23" s="5" t="s">
        <v>9</v>
      </c>
      <c r="D23" s="5" t="s">
        <v>9</v>
      </c>
      <c r="E23" s="5">
        <v>0.0</v>
      </c>
    </row>
    <row r="24">
      <c r="A24" s="6" t="s">
        <v>136</v>
      </c>
      <c r="B24" s="5">
        <v>9.0</v>
      </c>
      <c r="C24" s="5" t="s">
        <v>13</v>
      </c>
      <c r="D24" s="5" t="s">
        <v>9</v>
      </c>
      <c r="E24" s="5">
        <v>0.0</v>
      </c>
    </row>
    <row r="25">
      <c r="A25" s="6" t="s">
        <v>137</v>
      </c>
      <c r="B25" s="5">
        <v>9.0</v>
      </c>
      <c r="C25" s="5" t="s">
        <v>13</v>
      </c>
      <c r="D25" s="5" t="s">
        <v>13</v>
      </c>
      <c r="E25" s="5">
        <v>0.0</v>
      </c>
    </row>
    <row r="26">
      <c r="A26" s="6" t="s">
        <v>138</v>
      </c>
      <c r="B26" s="5">
        <v>5.0</v>
      </c>
      <c r="C26" s="5" t="s">
        <v>9</v>
      </c>
      <c r="D26" s="5" t="s">
        <v>9</v>
      </c>
      <c r="E26" s="5">
        <v>0.0</v>
      </c>
    </row>
    <row r="27">
      <c r="A27" s="6" t="s">
        <v>139</v>
      </c>
      <c r="B27" s="5">
        <v>3.0</v>
      </c>
      <c r="C27" s="5" t="s">
        <v>8</v>
      </c>
      <c r="D27" s="5" t="s">
        <v>13</v>
      </c>
      <c r="E27" s="5">
        <v>1.0</v>
      </c>
    </row>
    <row r="28">
      <c r="A28" s="6" t="s">
        <v>140</v>
      </c>
      <c r="B28" s="5">
        <v>10.0</v>
      </c>
      <c r="C28" s="5" t="s">
        <v>9</v>
      </c>
      <c r="D28" s="5" t="s">
        <v>9</v>
      </c>
      <c r="E28" s="5">
        <v>0.0</v>
      </c>
    </row>
    <row r="29">
      <c r="A29" s="6" t="s">
        <v>141</v>
      </c>
      <c r="B29" s="5">
        <v>3.0</v>
      </c>
      <c r="C29" s="5" t="s">
        <v>13</v>
      </c>
      <c r="D29" s="5" t="s">
        <v>9</v>
      </c>
      <c r="E29" s="5">
        <v>0.0</v>
      </c>
    </row>
    <row r="30">
      <c r="A30" s="6" t="s">
        <v>142</v>
      </c>
      <c r="B30" s="5">
        <v>8.0</v>
      </c>
      <c r="C30" s="5" t="s">
        <v>8</v>
      </c>
      <c r="D30" s="5" t="s">
        <v>9</v>
      </c>
      <c r="E30" s="5">
        <v>1.0</v>
      </c>
    </row>
    <row r="31">
      <c r="A31" s="6" t="s">
        <v>143</v>
      </c>
      <c r="B31" s="5">
        <v>3.0</v>
      </c>
      <c r="C31" s="5" t="s">
        <v>13</v>
      </c>
      <c r="D31" s="5" t="s">
        <v>9</v>
      </c>
      <c r="E31" s="5">
        <v>1.0</v>
      </c>
    </row>
    <row r="32">
      <c r="A32" s="6" t="s">
        <v>144</v>
      </c>
      <c r="B32" s="5">
        <v>5.0</v>
      </c>
      <c r="C32" s="5" t="s">
        <v>9</v>
      </c>
      <c r="D32" s="5" t="s">
        <v>13</v>
      </c>
      <c r="E32" s="5">
        <v>1.0</v>
      </c>
    </row>
    <row r="33">
      <c r="A33" s="6" t="s">
        <v>145</v>
      </c>
      <c r="B33" s="5">
        <v>5.0</v>
      </c>
      <c r="C33" s="5" t="s">
        <v>13</v>
      </c>
      <c r="D33" s="5" t="s">
        <v>9</v>
      </c>
      <c r="E33" s="5">
        <v>1.0</v>
      </c>
    </row>
    <row r="34">
      <c r="A34" s="6" t="s">
        <v>146</v>
      </c>
      <c r="B34" s="5">
        <v>8.0</v>
      </c>
      <c r="C34" s="5" t="s">
        <v>9</v>
      </c>
      <c r="D34" s="5" t="s">
        <v>9</v>
      </c>
      <c r="E34" s="5">
        <v>1.0</v>
      </c>
    </row>
    <row r="35">
      <c r="A35" s="6" t="s">
        <v>147</v>
      </c>
      <c r="B35" s="5">
        <v>6.0</v>
      </c>
      <c r="C35" s="5" t="s">
        <v>9</v>
      </c>
      <c r="D35" s="5" t="s">
        <v>13</v>
      </c>
      <c r="E35" s="5">
        <v>0.0</v>
      </c>
    </row>
    <row r="36">
      <c r="A36" s="6" t="s">
        <v>148</v>
      </c>
      <c r="B36" s="5">
        <v>6.0</v>
      </c>
      <c r="C36" s="5" t="s">
        <v>13</v>
      </c>
      <c r="D36" s="5" t="s">
        <v>9</v>
      </c>
      <c r="E36" s="5">
        <v>1.0</v>
      </c>
    </row>
    <row r="37">
      <c r="A37" s="6" t="s">
        <v>149</v>
      </c>
      <c r="B37" s="5">
        <v>7.0</v>
      </c>
      <c r="C37" s="5" t="s">
        <v>13</v>
      </c>
      <c r="D37" s="5" t="s">
        <v>8</v>
      </c>
      <c r="E37" s="5">
        <v>0.0</v>
      </c>
    </row>
    <row r="38">
      <c r="A38" s="6" t="s">
        <v>150</v>
      </c>
      <c r="B38" s="5">
        <v>7.0</v>
      </c>
      <c r="C38" s="5" t="s">
        <v>13</v>
      </c>
      <c r="D38" s="5" t="s">
        <v>8</v>
      </c>
      <c r="E38" s="5">
        <v>0.0</v>
      </c>
    </row>
    <row r="39">
      <c r="A39" s="6" t="s">
        <v>151</v>
      </c>
      <c r="B39" s="5">
        <v>10.0</v>
      </c>
      <c r="C39" s="5" t="s">
        <v>13</v>
      </c>
      <c r="D39" s="5" t="s">
        <v>13</v>
      </c>
      <c r="E39" s="5">
        <v>0.0</v>
      </c>
    </row>
    <row r="40">
      <c r="A40" s="6" t="s">
        <v>152</v>
      </c>
      <c r="B40" s="5">
        <v>8.0</v>
      </c>
      <c r="C40" s="5" t="s">
        <v>13</v>
      </c>
      <c r="D40" s="5" t="s">
        <v>9</v>
      </c>
      <c r="E40" s="5">
        <v>0.0</v>
      </c>
    </row>
    <row r="41">
      <c r="A41" s="6" t="s">
        <v>153</v>
      </c>
      <c r="B41" s="5">
        <v>8.0</v>
      </c>
      <c r="C41" s="5" t="s">
        <v>8</v>
      </c>
      <c r="D41" s="5" t="s">
        <v>9</v>
      </c>
      <c r="E41" s="5">
        <v>1.0</v>
      </c>
    </row>
    <row r="42">
      <c r="A42" s="6" t="s">
        <v>154</v>
      </c>
      <c r="B42" s="5">
        <v>8.0</v>
      </c>
      <c r="C42" s="5" t="s">
        <v>8</v>
      </c>
      <c r="D42" s="5" t="s">
        <v>9</v>
      </c>
      <c r="E42" s="5">
        <v>1.0</v>
      </c>
    </row>
    <row r="43">
      <c r="A43" s="6" t="s">
        <v>155</v>
      </c>
      <c r="B43" s="5">
        <v>10.0</v>
      </c>
      <c r="C43" s="5" t="s">
        <v>13</v>
      </c>
      <c r="D43" s="5" t="s">
        <v>8</v>
      </c>
      <c r="E43" s="5">
        <v>1.0</v>
      </c>
    </row>
    <row r="44">
      <c r="A44" s="6" t="s">
        <v>156</v>
      </c>
      <c r="B44" s="5">
        <v>7.0</v>
      </c>
      <c r="C44" s="5" t="s">
        <v>13</v>
      </c>
      <c r="D44" s="5" t="s">
        <v>13</v>
      </c>
      <c r="E44" s="5">
        <v>0.0</v>
      </c>
    </row>
    <row r="45">
      <c r="A45" s="6" t="s">
        <v>157</v>
      </c>
      <c r="B45" s="5">
        <v>4.0</v>
      </c>
      <c r="C45" s="5" t="s">
        <v>13</v>
      </c>
      <c r="D45" s="5" t="s">
        <v>9</v>
      </c>
      <c r="E45" s="5">
        <v>0.0</v>
      </c>
    </row>
    <row r="46">
      <c r="A46" s="6" t="s">
        <v>158</v>
      </c>
      <c r="B46" s="5">
        <v>7.0</v>
      </c>
      <c r="C46" s="5" t="s">
        <v>8</v>
      </c>
      <c r="D46" s="5" t="s">
        <v>9</v>
      </c>
      <c r="E46" s="5">
        <v>0.0</v>
      </c>
    </row>
    <row r="47">
      <c r="A47" s="6" t="s">
        <v>159</v>
      </c>
      <c r="B47" s="5">
        <v>7.0</v>
      </c>
      <c r="C47" s="5" t="s">
        <v>13</v>
      </c>
      <c r="D47" s="5" t="s">
        <v>9</v>
      </c>
      <c r="E47" s="5">
        <v>0.0</v>
      </c>
    </row>
    <row r="48">
      <c r="A48" s="6" t="s">
        <v>160</v>
      </c>
      <c r="B48" s="5">
        <v>8.0</v>
      </c>
      <c r="C48" s="5" t="s">
        <v>13</v>
      </c>
      <c r="D48" s="5" t="s">
        <v>8</v>
      </c>
      <c r="E48" s="5">
        <v>1.0</v>
      </c>
    </row>
    <row r="49">
      <c r="A49" s="6" t="s">
        <v>161</v>
      </c>
      <c r="B49" s="5">
        <v>9.0</v>
      </c>
      <c r="C49" s="5" t="s">
        <v>13</v>
      </c>
      <c r="D49" s="5" t="s">
        <v>8</v>
      </c>
      <c r="E49" s="5">
        <v>1.0</v>
      </c>
    </row>
    <row r="50">
      <c r="A50" s="6" t="s">
        <v>162</v>
      </c>
      <c r="B50" s="5">
        <v>7.0</v>
      </c>
      <c r="C50" s="5" t="s">
        <v>9</v>
      </c>
      <c r="D50" s="5" t="s">
        <v>13</v>
      </c>
      <c r="E50" s="5">
        <v>0.0</v>
      </c>
    </row>
    <row r="51">
      <c r="A51" s="6" t="s">
        <v>163</v>
      </c>
      <c r="B51" s="5">
        <v>5.0</v>
      </c>
      <c r="C51" s="5" t="s">
        <v>13</v>
      </c>
      <c r="D51" s="5" t="s">
        <v>9</v>
      </c>
      <c r="E51" s="5">
        <v>0.0</v>
      </c>
    </row>
    <row r="52">
      <c r="A52" s="6" t="s">
        <v>164</v>
      </c>
      <c r="B52" s="5">
        <v>7.0</v>
      </c>
      <c r="C52" s="5" t="s">
        <v>8</v>
      </c>
      <c r="D52" s="5" t="s">
        <v>9</v>
      </c>
      <c r="E52" s="5">
        <v>0.0</v>
      </c>
    </row>
    <row r="53">
      <c r="A53" s="6" t="s">
        <v>165</v>
      </c>
      <c r="B53" s="5">
        <v>7.0</v>
      </c>
      <c r="C53" s="5" t="s">
        <v>8</v>
      </c>
      <c r="D53" s="5" t="s">
        <v>9</v>
      </c>
      <c r="E53" s="5">
        <v>0.0</v>
      </c>
    </row>
    <row r="54">
      <c r="A54" s="6" t="s">
        <v>166</v>
      </c>
      <c r="B54" s="5">
        <v>5.0</v>
      </c>
      <c r="C54" s="5" t="s">
        <v>9</v>
      </c>
      <c r="D54" s="5" t="s">
        <v>13</v>
      </c>
      <c r="E54" s="5">
        <v>0.0</v>
      </c>
    </row>
    <row r="55">
      <c r="A55" s="10" t="s">
        <v>167</v>
      </c>
      <c r="B55" s="5">
        <v>5.0</v>
      </c>
      <c r="C55" s="5" t="s">
        <v>9</v>
      </c>
      <c r="D55" s="5" t="s">
        <v>9</v>
      </c>
      <c r="E55" s="5">
        <v>0.0</v>
      </c>
      <c r="F55" s="9" t="b">
        <v>0</v>
      </c>
    </row>
    <row r="56">
      <c r="A56" s="6" t="s">
        <v>168</v>
      </c>
      <c r="B56" s="5">
        <v>5.0</v>
      </c>
      <c r="C56" s="5" t="s">
        <v>9</v>
      </c>
      <c r="D56" s="5" t="s">
        <v>9</v>
      </c>
      <c r="E56" s="5">
        <v>0.0</v>
      </c>
      <c r="F56" s="9" t="b">
        <v>0</v>
      </c>
    </row>
    <row r="57">
      <c r="A57" s="10" t="s">
        <v>169</v>
      </c>
      <c r="B57" s="5">
        <v>5.0</v>
      </c>
      <c r="C57" s="5" t="s">
        <v>9</v>
      </c>
      <c r="D57" s="5" t="s">
        <v>9</v>
      </c>
      <c r="E57" s="5">
        <v>0.0</v>
      </c>
      <c r="F57" s="5" t="b">
        <v>0</v>
      </c>
    </row>
    <row r="58">
      <c r="A58" s="6" t="s">
        <v>170</v>
      </c>
      <c r="B58" s="5">
        <v>6.0</v>
      </c>
      <c r="C58" s="5" t="s">
        <v>13</v>
      </c>
      <c r="D58" s="5" t="s">
        <v>9</v>
      </c>
      <c r="E58" s="5">
        <v>0.0</v>
      </c>
      <c r="F58" s="9" t="b">
        <v>0</v>
      </c>
    </row>
    <row r="59">
      <c r="A59" s="6" t="s">
        <v>171</v>
      </c>
      <c r="B59" s="5">
        <v>10.0</v>
      </c>
      <c r="C59" s="5" t="s">
        <v>9</v>
      </c>
      <c r="D59" s="5" t="s">
        <v>13</v>
      </c>
      <c r="E59" s="5">
        <v>1.0</v>
      </c>
      <c r="F59" s="9" t="b">
        <v>0</v>
      </c>
    </row>
    <row r="60">
      <c r="A60" s="6" t="s">
        <v>172</v>
      </c>
      <c r="B60" s="5">
        <v>10.0</v>
      </c>
      <c r="C60" s="5" t="s">
        <v>9</v>
      </c>
      <c r="D60" s="5" t="s">
        <v>13</v>
      </c>
      <c r="E60" s="5">
        <v>0.0</v>
      </c>
      <c r="F60" s="5" t="b">
        <v>1</v>
      </c>
    </row>
    <row r="61">
      <c r="A61" s="6" t="s">
        <v>173</v>
      </c>
      <c r="B61" s="5">
        <v>7.0</v>
      </c>
      <c r="C61" s="5" t="s">
        <v>13</v>
      </c>
      <c r="D61" s="5" t="s">
        <v>9</v>
      </c>
      <c r="E61" s="5">
        <v>0.0</v>
      </c>
      <c r="F61" s="9" t="b">
        <v>0</v>
      </c>
    </row>
    <row r="62">
      <c r="A62" s="6" t="s">
        <v>174</v>
      </c>
      <c r="B62" s="5">
        <v>7.0</v>
      </c>
      <c r="C62" s="5" t="s">
        <v>13</v>
      </c>
      <c r="D62" s="5" t="s">
        <v>9</v>
      </c>
      <c r="E62" s="5">
        <v>1.0</v>
      </c>
      <c r="F62" s="5" t="b">
        <v>1</v>
      </c>
    </row>
    <row r="63">
      <c r="A63" s="6" t="s">
        <v>175</v>
      </c>
      <c r="B63" s="5">
        <v>5.0</v>
      </c>
      <c r="C63" s="5" t="s">
        <v>9</v>
      </c>
      <c r="D63" s="5" t="s">
        <v>9</v>
      </c>
      <c r="E63" s="5">
        <v>0.0</v>
      </c>
      <c r="F63" s="5" t="b">
        <v>1</v>
      </c>
    </row>
    <row r="64">
      <c r="A64" s="6" t="s">
        <v>176</v>
      </c>
      <c r="B64" s="5">
        <v>9.0</v>
      </c>
      <c r="C64" s="5" t="s">
        <v>8</v>
      </c>
      <c r="D64" s="5" t="s">
        <v>9</v>
      </c>
      <c r="E64" s="5">
        <v>0.0</v>
      </c>
      <c r="F64" s="5" t="b">
        <v>0</v>
      </c>
    </row>
    <row r="65">
      <c r="A65" s="6" t="s">
        <v>177</v>
      </c>
      <c r="B65" s="5">
        <v>9.0</v>
      </c>
      <c r="C65" s="5" t="s">
        <v>9</v>
      </c>
      <c r="D65" s="5" t="s">
        <v>9</v>
      </c>
      <c r="E65" s="5">
        <v>1.0</v>
      </c>
      <c r="F65" s="5" t="b">
        <v>0</v>
      </c>
    </row>
    <row r="66">
      <c r="A66" s="6" t="s">
        <v>178</v>
      </c>
      <c r="B66" s="5">
        <v>5.0</v>
      </c>
      <c r="C66" s="5" t="s">
        <v>13</v>
      </c>
      <c r="D66" s="5" t="s">
        <v>9</v>
      </c>
      <c r="E66" s="5">
        <v>0.0</v>
      </c>
      <c r="F66" s="5" t="b">
        <v>0</v>
      </c>
    </row>
    <row r="67">
      <c r="A67" s="6" t="s">
        <v>179</v>
      </c>
      <c r="B67" s="5">
        <v>6.0</v>
      </c>
      <c r="C67" s="5" t="s">
        <v>9</v>
      </c>
      <c r="D67" s="5" t="s">
        <v>9</v>
      </c>
      <c r="E67" s="5">
        <v>1.0</v>
      </c>
      <c r="F67" s="9" t="b">
        <v>0</v>
      </c>
    </row>
    <row r="68">
      <c r="A68" s="6" t="s">
        <v>180</v>
      </c>
      <c r="B68" s="5">
        <v>8.0</v>
      </c>
      <c r="C68" s="5" t="s">
        <v>9</v>
      </c>
      <c r="D68" s="5" t="s">
        <v>9</v>
      </c>
      <c r="E68" s="5">
        <v>0.0</v>
      </c>
      <c r="F68" s="9" t="b">
        <v>0</v>
      </c>
    </row>
    <row r="69">
      <c r="A69" s="6" t="s">
        <v>181</v>
      </c>
      <c r="B69" s="5">
        <v>8.0</v>
      </c>
      <c r="C69" s="5" t="s">
        <v>9</v>
      </c>
      <c r="D69" s="5" t="s">
        <v>9</v>
      </c>
      <c r="E69" s="5">
        <v>1.0</v>
      </c>
      <c r="F69" s="5" t="b">
        <v>1</v>
      </c>
    </row>
    <row r="70">
      <c r="A70" s="6" t="s">
        <v>182</v>
      </c>
      <c r="B70" s="5">
        <v>5.0</v>
      </c>
      <c r="C70" s="5" t="s">
        <v>9</v>
      </c>
      <c r="D70" s="5" t="s">
        <v>9</v>
      </c>
      <c r="E70" s="5">
        <v>0.0</v>
      </c>
      <c r="F70" s="9" t="b">
        <v>0</v>
      </c>
    </row>
    <row r="71">
      <c r="A71" s="6" t="s">
        <v>183</v>
      </c>
      <c r="B71" s="5">
        <v>5.0</v>
      </c>
      <c r="C71" s="5" t="s">
        <v>9</v>
      </c>
      <c r="D71" s="5" t="s">
        <v>9</v>
      </c>
      <c r="E71" s="5">
        <v>0.0</v>
      </c>
      <c r="F71" s="5" t="b">
        <v>1</v>
      </c>
    </row>
    <row r="72">
      <c r="A72" s="6" t="s">
        <v>184</v>
      </c>
      <c r="B72" s="5">
        <v>7.0</v>
      </c>
      <c r="C72" s="5" t="s">
        <v>13</v>
      </c>
      <c r="D72" s="5" t="s">
        <v>9</v>
      </c>
      <c r="E72" s="5">
        <v>0.0</v>
      </c>
      <c r="F72" s="9" t="b">
        <v>0</v>
      </c>
    </row>
    <row r="73">
      <c r="A73" s="6" t="s">
        <v>185</v>
      </c>
      <c r="B73" s="5">
        <v>9.0</v>
      </c>
      <c r="C73" s="5" t="s">
        <v>13</v>
      </c>
      <c r="D73" s="5" t="s">
        <v>9</v>
      </c>
      <c r="E73" s="5">
        <v>1.0</v>
      </c>
      <c r="F73" s="9" t="b">
        <v>0</v>
      </c>
    </row>
    <row r="74">
      <c r="A74" s="6" t="s">
        <v>186</v>
      </c>
      <c r="B74" s="5">
        <v>8.0</v>
      </c>
      <c r="C74" s="5" t="s">
        <v>9</v>
      </c>
      <c r="D74" s="5" t="s">
        <v>9</v>
      </c>
      <c r="E74" s="5">
        <v>1.0</v>
      </c>
      <c r="F74" s="9" t="b">
        <v>0</v>
      </c>
    </row>
    <row r="75">
      <c r="A75" s="6" t="s">
        <v>187</v>
      </c>
      <c r="B75" s="5">
        <v>9.0</v>
      </c>
      <c r="C75" s="5" t="s">
        <v>9</v>
      </c>
      <c r="D75" s="5" t="s">
        <v>9</v>
      </c>
      <c r="E75" s="5">
        <v>0.0</v>
      </c>
      <c r="F75" s="9" t="b">
        <v>0</v>
      </c>
    </row>
    <row r="76">
      <c r="A76" s="6" t="s">
        <v>188</v>
      </c>
      <c r="E76" s="5">
        <v>1.0</v>
      </c>
      <c r="F76" s="5" t="b">
        <v>1</v>
      </c>
    </row>
    <row r="77">
      <c r="A77" s="6" t="s">
        <v>189</v>
      </c>
      <c r="F77" s="9" t="b">
        <v>0</v>
      </c>
    </row>
    <row r="78">
      <c r="A78" s="6" t="s">
        <v>190</v>
      </c>
      <c r="B78" s="5">
        <v>10.0</v>
      </c>
      <c r="C78" s="5" t="s">
        <v>9</v>
      </c>
      <c r="D78" s="5" t="s">
        <v>13</v>
      </c>
      <c r="E78" s="5">
        <v>1.0</v>
      </c>
      <c r="F78" s="9" t="b">
        <v>0</v>
      </c>
    </row>
    <row r="79">
      <c r="A79" s="6" t="s">
        <v>191</v>
      </c>
      <c r="B79" s="5">
        <v>8.0</v>
      </c>
      <c r="C79" s="5" t="s">
        <v>13</v>
      </c>
      <c r="D79" s="5" t="s">
        <v>9</v>
      </c>
      <c r="E79" s="5">
        <v>0.0</v>
      </c>
      <c r="F79" s="9" t="b">
        <v>0</v>
      </c>
    </row>
    <row r="80">
      <c r="A80" s="6" t="s">
        <v>192</v>
      </c>
      <c r="B80" s="5">
        <v>4.0</v>
      </c>
      <c r="C80" s="5" t="s">
        <v>8</v>
      </c>
      <c r="D80" s="5" t="s">
        <v>9</v>
      </c>
      <c r="E80" s="5">
        <v>0.0</v>
      </c>
      <c r="F80" s="5" t="b">
        <v>0</v>
      </c>
    </row>
    <row r="81">
      <c r="A81" s="10" t="s">
        <v>193</v>
      </c>
      <c r="B81" s="5">
        <v>5.0</v>
      </c>
      <c r="C81" s="5" t="s">
        <v>9</v>
      </c>
      <c r="D81" s="5" t="s">
        <v>9</v>
      </c>
      <c r="E81" s="5">
        <v>0.0</v>
      </c>
      <c r="F81" s="9" t="b">
        <v>0</v>
      </c>
    </row>
    <row r="82">
      <c r="A82" s="6" t="s">
        <v>194</v>
      </c>
      <c r="B82" s="5">
        <v>6.0</v>
      </c>
      <c r="C82" s="5" t="s">
        <v>9</v>
      </c>
      <c r="D82" s="5" t="s">
        <v>13</v>
      </c>
      <c r="E82" s="5">
        <v>0.0</v>
      </c>
      <c r="F82" s="5" t="b">
        <v>0</v>
      </c>
    </row>
    <row r="83">
      <c r="A83" s="6" t="s">
        <v>195</v>
      </c>
      <c r="B83" s="5">
        <v>6.0</v>
      </c>
      <c r="C83" s="5" t="s">
        <v>9</v>
      </c>
      <c r="D83" s="5" t="s">
        <v>13</v>
      </c>
      <c r="E83" s="5">
        <v>0.0</v>
      </c>
      <c r="F83" s="5" t="b">
        <v>0</v>
      </c>
    </row>
    <row r="84">
      <c r="A84" s="6" t="s">
        <v>196</v>
      </c>
      <c r="B84" s="5">
        <v>4.0</v>
      </c>
      <c r="C84" s="5" t="s">
        <v>9</v>
      </c>
      <c r="D84" s="5" t="s">
        <v>9</v>
      </c>
      <c r="E84" s="5">
        <v>1.0</v>
      </c>
      <c r="F84" s="9" t="b">
        <v>0</v>
      </c>
    </row>
    <row r="85">
      <c r="A85" s="6" t="s">
        <v>197</v>
      </c>
      <c r="B85" s="5">
        <v>4.0</v>
      </c>
      <c r="C85" s="5" t="s">
        <v>13</v>
      </c>
      <c r="D85" s="5" t="s">
        <v>9</v>
      </c>
      <c r="E85" s="5">
        <v>0.0</v>
      </c>
      <c r="F85" s="9" t="b">
        <v>0</v>
      </c>
    </row>
    <row r="86">
      <c r="A86" s="6" t="s">
        <v>198</v>
      </c>
      <c r="F86" s="9" t="b">
        <v>0</v>
      </c>
    </row>
    <row r="87">
      <c r="A87" s="6" t="s">
        <v>199</v>
      </c>
      <c r="B87" s="5">
        <v>8.0</v>
      </c>
      <c r="C87" s="5" t="s">
        <v>13</v>
      </c>
      <c r="D87" s="5" t="s">
        <v>9</v>
      </c>
      <c r="E87" s="5">
        <v>0.0</v>
      </c>
      <c r="F87" s="9" t="b">
        <v>0</v>
      </c>
    </row>
    <row r="88">
      <c r="A88" s="11" t="s">
        <v>200</v>
      </c>
      <c r="B88" s="5">
        <v>10.0</v>
      </c>
      <c r="C88" s="5" t="s">
        <v>9</v>
      </c>
      <c r="D88" s="5" t="s">
        <v>9</v>
      </c>
      <c r="E88" s="5">
        <v>1.0</v>
      </c>
      <c r="F88" s="9" t="b">
        <v>0</v>
      </c>
    </row>
    <row r="89">
      <c r="A89" s="6" t="s">
        <v>201</v>
      </c>
      <c r="B89" s="5">
        <v>6.0</v>
      </c>
      <c r="C89" s="5" t="s">
        <v>9</v>
      </c>
      <c r="D89" s="5" t="s">
        <v>13</v>
      </c>
      <c r="E89" s="5">
        <v>0.0</v>
      </c>
      <c r="F89" s="5" t="b">
        <v>0</v>
      </c>
    </row>
    <row r="90">
      <c r="A90" s="6" t="s">
        <v>202</v>
      </c>
      <c r="B90" s="5">
        <v>7.0</v>
      </c>
      <c r="C90" s="5" t="s">
        <v>9</v>
      </c>
      <c r="D90" s="5" t="s">
        <v>9</v>
      </c>
      <c r="E90" s="5">
        <v>0.0</v>
      </c>
      <c r="F90" s="5" t="b">
        <v>0</v>
      </c>
    </row>
    <row r="91">
      <c r="A91" s="10" t="s">
        <v>203</v>
      </c>
      <c r="B91" s="5">
        <v>10.0</v>
      </c>
      <c r="C91" s="5" t="s">
        <v>9</v>
      </c>
      <c r="D91" s="5" t="s">
        <v>13</v>
      </c>
      <c r="E91" s="5">
        <v>1.0</v>
      </c>
      <c r="F91" s="9" t="b">
        <v>0</v>
      </c>
    </row>
    <row r="92">
      <c r="A92" s="6" t="s">
        <v>204</v>
      </c>
      <c r="B92" s="5">
        <v>9.0</v>
      </c>
      <c r="C92" s="5" t="s">
        <v>9</v>
      </c>
      <c r="D92" s="5" t="s">
        <v>9</v>
      </c>
      <c r="E92" s="5">
        <v>1.0</v>
      </c>
      <c r="F92" s="5" t="b">
        <v>0</v>
      </c>
    </row>
    <row r="93">
      <c r="A93" s="6" t="s">
        <v>50</v>
      </c>
      <c r="B93" s="5">
        <v>7.0</v>
      </c>
      <c r="C93" s="5" t="s">
        <v>9</v>
      </c>
      <c r="D93" s="5" t="s">
        <v>13</v>
      </c>
      <c r="E93" s="5">
        <v>0.0</v>
      </c>
      <c r="F93" s="9" t="b">
        <v>0</v>
      </c>
    </row>
    <row r="94">
      <c r="A94" s="6" t="s">
        <v>205</v>
      </c>
      <c r="B94" s="5">
        <v>3.0</v>
      </c>
      <c r="C94" s="5" t="s">
        <v>13</v>
      </c>
      <c r="D94" s="5" t="s">
        <v>9</v>
      </c>
      <c r="E94" s="5">
        <v>1.0</v>
      </c>
      <c r="F94" s="9" t="b">
        <v>0</v>
      </c>
      <c r="G94" s="7">
        <v>45241.0</v>
      </c>
    </row>
  </sheetData>
  <hyperlinks>
    <hyperlink r:id="rId1" ref="A9"/>
    <hyperlink r:id="rId2" ref="A14"/>
    <hyperlink r:id="rId3" ref="A23"/>
    <hyperlink r:id="rId4" ref="A55"/>
    <hyperlink r:id="rId5" location="/app/issa-test/page/0yVeMhHGn" ref="A57"/>
    <hyperlink r:id="rId6" ref="A81"/>
    <hyperlink r:id="rId7" ref="A91"/>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75"/>
  </cols>
  <sheetData>
    <row r="1">
      <c r="A1" s="15" t="s">
        <v>206</v>
      </c>
      <c r="B1" s="15" t="s">
        <v>207</v>
      </c>
      <c r="C1" s="15" t="s">
        <v>208</v>
      </c>
      <c r="D1" s="15" t="s">
        <v>209</v>
      </c>
    </row>
    <row r="2">
      <c r="A2" s="16"/>
      <c r="B2" s="16"/>
      <c r="C2" s="16"/>
      <c r="D2" s="16"/>
    </row>
    <row r="3">
      <c r="A3" s="17">
        <v>45105.015911875</v>
      </c>
      <c r="B3" s="5" t="s">
        <v>9</v>
      </c>
      <c r="C3" s="5" t="s">
        <v>13</v>
      </c>
      <c r="D3" s="5">
        <v>0.0</v>
      </c>
    </row>
    <row r="4">
      <c r="A4" s="17">
        <v>45105.470945925925</v>
      </c>
      <c r="B4" s="5" t="s">
        <v>9</v>
      </c>
      <c r="C4" s="5" t="s">
        <v>9</v>
      </c>
      <c r="D4" s="5">
        <v>0.0</v>
      </c>
    </row>
    <row r="5">
      <c r="A5" s="17">
        <v>45105.53232726852</v>
      </c>
      <c r="B5" s="5" t="s">
        <v>11</v>
      </c>
      <c r="C5" s="5" t="s">
        <v>11</v>
      </c>
      <c r="D5" s="5">
        <v>0.0</v>
      </c>
    </row>
    <row r="6">
      <c r="A6" s="17">
        <v>45105.61026793982</v>
      </c>
      <c r="B6" s="5" t="s">
        <v>9</v>
      </c>
      <c r="C6" s="5" t="s">
        <v>11</v>
      </c>
      <c r="D6" s="5">
        <v>1.0</v>
      </c>
    </row>
    <row r="7">
      <c r="A7" s="17">
        <v>45105.731150625</v>
      </c>
      <c r="B7" s="5" t="s">
        <v>13</v>
      </c>
      <c r="C7" s="5" t="s">
        <v>9</v>
      </c>
      <c r="D7" s="5">
        <v>1.0</v>
      </c>
    </row>
    <row r="8">
      <c r="A8" s="17">
        <v>45105.87169353009</v>
      </c>
      <c r="B8" s="5" t="s">
        <v>9</v>
      </c>
      <c r="C8" s="5" t="s">
        <v>9</v>
      </c>
      <c r="D8" s="5">
        <v>1.0</v>
      </c>
    </row>
    <row r="9">
      <c r="A9" s="17">
        <v>45106.522069479164</v>
      </c>
      <c r="B9" s="5" t="s">
        <v>9</v>
      </c>
      <c r="C9" s="5" t="s">
        <v>9</v>
      </c>
      <c r="D9" s="5">
        <v>0.0</v>
      </c>
    </row>
    <row r="10">
      <c r="A10" s="17">
        <v>45107.56191400463</v>
      </c>
      <c r="B10" s="5" t="s">
        <v>11</v>
      </c>
      <c r="C10" s="5" t="s">
        <v>11</v>
      </c>
      <c r="D10" s="5">
        <v>0.0</v>
      </c>
    </row>
    <row r="11">
      <c r="A11" s="17">
        <v>45107.60926871528</v>
      </c>
      <c r="B11" s="5" t="s">
        <v>9</v>
      </c>
      <c r="C11" s="5" t="s">
        <v>9</v>
      </c>
      <c r="D11" s="5">
        <v>0.0</v>
      </c>
    </row>
    <row r="12">
      <c r="A12" s="17">
        <v>45108.52814391204</v>
      </c>
      <c r="B12" s="5" t="s">
        <v>9</v>
      </c>
      <c r="C12" s="5" t="s">
        <v>9</v>
      </c>
      <c r="D12" s="5">
        <v>0.0</v>
      </c>
    </row>
    <row r="13">
      <c r="A13" s="17">
        <v>45109.58589828704</v>
      </c>
      <c r="B13" s="5" t="s">
        <v>9</v>
      </c>
      <c r="C13" s="5" t="s">
        <v>9</v>
      </c>
      <c r="D13" s="5">
        <v>1.0</v>
      </c>
    </row>
    <row r="14">
      <c r="A14" s="17">
        <v>45110.020653113424</v>
      </c>
      <c r="B14" s="5" t="s">
        <v>9</v>
      </c>
      <c r="C14" s="5" t="s">
        <v>9</v>
      </c>
      <c r="D14" s="5">
        <v>0.0</v>
      </c>
    </row>
    <row r="15">
      <c r="A15" s="17">
        <v>45111.729626388886</v>
      </c>
      <c r="B15" s="5" t="s">
        <v>13</v>
      </c>
      <c r="C15" s="5" t="s">
        <v>9</v>
      </c>
      <c r="D15" s="5">
        <v>0.0</v>
      </c>
    </row>
    <row r="16">
      <c r="A16" s="17">
        <v>45111.874312534725</v>
      </c>
      <c r="B16" s="5" t="s">
        <v>9</v>
      </c>
      <c r="C16" s="5" t="s">
        <v>9</v>
      </c>
      <c r="D16" s="5">
        <v>0.0</v>
      </c>
    </row>
    <row r="17">
      <c r="A17" s="17">
        <v>45112.55428725695</v>
      </c>
      <c r="B17" s="5" t="s">
        <v>9</v>
      </c>
      <c r="C17" s="5" t="s">
        <v>9</v>
      </c>
      <c r="D17" s="5">
        <v>0.0</v>
      </c>
    </row>
    <row r="18">
      <c r="A18" s="17">
        <v>45116.827721215275</v>
      </c>
      <c r="B18" s="5" t="s">
        <v>13</v>
      </c>
      <c r="C18" s="5" t="s">
        <v>9</v>
      </c>
      <c r="D18" s="5">
        <v>1.0</v>
      </c>
    </row>
    <row r="19">
      <c r="A19" s="17">
        <v>45117.525255960645</v>
      </c>
      <c r="B19" s="5" t="s">
        <v>13</v>
      </c>
      <c r="C19" s="5" t="s">
        <v>9</v>
      </c>
      <c r="D19" s="5">
        <v>0.0</v>
      </c>
    </row>
    <row r="20">
      <c r="A20" s="17">
        <v>45117.58262746528</v>
      </c>
      <c r="B20" s="5" t="s">
        <v>9</v>
      </c>
      <c r="C20" s="5" t="s">
        <v>9</v>
      </c>
      <c r="D20" s="5">
        <v>0.0</v>
      </c>
    </row>
    <row r="21">
      <c r="A21" s="17">
        <v>45117.69399990741</v>
      </c>
      <c r="B21" s="5" t="s">
        <v>13</v>
      </c>
      <c r="C21" s="5" t="s">
        <v>9</v>
      </c>
      <c r="D21" s="5">
        <v>0.0</v>
      </c>
    </row>
    <row r="22">
      <c r="A22" s="17">
        <v>45118.491614583334</v>
      </c>
      <c r="B22" s="5" t="s">
        <v>9</v>
      </c>
      <c r="C22" s="5" t="s">
        <v>9</v>
      </c>
      <c r="D22" s="5">
        <v>0.0</v>
      </c>
    </row>
    <row r="23">
      <c r="A23" s="17">
        <v>45119.516967337964</v>
      </c>
      <c r="B23" s="5" t="s">
        <v>9</v>
      </c>
      <c r="C23" s="5" t="s">
        <v>9</v>
      </c>
      <c r="D23" s="5">
        <v>0.0</v>
      </c>
    </row>
    <row r="24">
      <c r="A24" s="17">
        <v>45119.5589565625</v>
      </c>
      <c r="B24" s="5" t="s">
        <v>13</v>
      </c>
      <c r="C24" s="5" t="s">
        <v>9</v>
      </c>
      <c r="D24" s="5">
        <v>0.0</v>
      </c>
    </row>
    <row r="25">
      <c r="A25" s="17">
        <v>45121.95825563658</v>
      </c>
      <c r="B25" s="5" t="s">
        <v>13</v>
      </c>
      <c r="C25" s="5" t="s">
        <v>13</v>
      </c>
      <c r="D25" s="5">
        <v>0.0</v>
      </c>
    </row>
    <row r="26">
      <c r="A26" s="17">
        <v>45123.718263483795</v>
      </c>
      <c r="B26" s="5" t="s">
        <v>13</v>
      </c>
      <c r="C26" s="5" t="s">
        <v>9</v>
      </c>
      <c r="D26" s="5">
        <v>1.0</v>
      </c>
    </row>
    <row r="27">
      <c r="A27" s="17">
        <v>45124.73158020833</v>
      </c>
      <c r="B27" s="5" t="s">
        <v>11</v>
      </c>
      <c r="C27" s="5" t="s">
        <v>11</v>
      </c>
      <c r="D27" s="5">
        <v>0.0</v>
      </c>
    </row>
    <row r="28">
      <c r="A28" s="17">
        <v>45125.74874520833</v>
      </c>
      <c r="B28" s="5" t="s">
        <v>11</v>
      </c>
      <c r="C28" s="5" t="s">
        <v>11</v>
      </c>
      <c r="D28" s="5">
        <v>1.0</v>
      </c>
    </row>
    <row r="29">
      <c r="A29" s="17">
        <v>45126.577694479165</v>
      </c>
      <c r="B29" s="5" t="s">
        <v>9</v>
      </c>
      <c r="C29" s="5" t="s">
        <v>9</v>
      </c>
      <c r="D29" s="5">
        <v>0.0</v>
      </c>
    </row>
    <row r="30">
      <c r="A30" s="17">
        <v>45127.48320870371</v>
      </c>
      <c r="B30" s="5" t="s">
        <v>9</v>
      </c>
      <c r="C30" s="5" t="s">
        <v>11</v>
      </c>
      <c r="D30" s="5">
        <v>0.0</v>
      </c>
    </row>
    <row r="31">
      <c r="A31" s="17">
        <v>45129.54938615741</v>
      </c>
      <c r="B31" s="5" t="s">
        <v>9</v>
      </c>
      <c r="C31" s="5" t="s">
        <v>9</v>
      </c>
      <c r="D31" s="5">
        <v>0.0</v>
      </c>
    </row>
    <row r="32">
      <c r="A32" s="17">
        <v>45141.89992048611</v>
      </c>
      <c r="B32" s="5" t="s">
        <v>9</v>
      </c>
      <c r="C32" s="5" t="s">
        <v>9</v>
      </c>
      <c r="D32" s="5">
        <v>0.0</v>
      </c>
    </row>
    <row r="33">
      <c r="A33" s="17">
        <v>45151.57468310185</v>
      </c>
      <c r="B33" s="5" t="s">
        <v>9</v>
      </c>
      <c r="C33" s="5" t="s">
        <v>9</v>
      </c>
      <c r="D33" s="5">
        <v>0.0</v>
      </c>
    </row>
    <row r="34">
      <c r="A34" s="17">
        <v>45173.89863895833</v>
      </c>
      <c r="B34" s="5" t="s">
        <v>13</v>
      </c>
      <c r="C34" s="5" t="s">
        <v>13</v>
      </c>
      <c r="D34" s="5">
        <v>0.0</v>
      </c>
    </row>
    <row r="35">
      <c r="A35" s="17">
        <v>45175.58780996528</v>
      </c>
      <c r="B35" s="5" t="s">
        <v>9</v>
      </c>
      <c r="C35" s="5" t="s">
        <v>9</v>
      </c>
      <c r="D35" s="5">
        <v>0.0</v>
      </c>
    </row>
    <row r="36">
      <c r="A36" s="17">
        <v>45183.08311814815</v>
      </c>
      <c r="B36" s="5" t="s">
        <v>9</v>
      </c>
      <c r="C36" s="5" t="s">
        <v>9</v>
      </c>
      <c r="D36" s="5">
        <v>0.0</v>
      </c>
    </row>
    <row r="37">
      <c r="A37" s="17">
        <v>45183.58760290509</v>
      </c>
      <c r="B37" s="5" t="s">
        <v>9</v>
      </c>
      <c r="C37" s="5" t="s">
        <v>9</v>
      </c>
      <c r="D37" s="5">
        <v>0.0</v>
      </c>
    </row>
    <row r="38">
      <c r="A38" s="17">
        <v>45186.596173136575</v>
      </c>
      <c r="B38" s="5" t="s">
        <v>9</v>
      </c>
      <c r="C38" s="5" t="s">
        <v>9</v>
      </c>
      <c r="D38" s="5">
        <v>0.0</v>
      </c>
    </row>
    <row r="39">
      <c r="A39" s="17">
        <v>45188.51784792824</v>
      </c>
      <c r="B39" s="5" t="s">
        <v>9</v>
      </c>
      <c r="C39" s="5" t="s">
        <v>9</v>
      </c>
      <c r="D39" s="5">
        <v>0.0</v>
      </c>
    </row>
    <row r="40">
      <c r="A40" s="17">
        <v>45190.52402752315</v>
      </c>
      <c r="B40" s="5" t="s">
        <v>9</v>
      </c>
      <c r="C40" s="5" t="s">
        <v>11</v>
      </c>
      <c r="D40" s="5">
        <v>0.0</v>
      </c>
    </row>
    <row r="41">
      <c r="A41" s="17">
        <v>45206.62111429399</v>
      </c>
      <c r="B41" s="5" t="s">
        <v>9</v>
      </c>
      <c r="C41" s="5" t="s">
        <v>9</v>
      </c>
      <c r="D41" s="5">
        <v>0.0</v>
      </c>
    </row>
    <row r="42">
      <c r="A42" s="17">
        <v>45218.66406603009</v>
      </c>
      <c r="B42" s="5" t="s">
        <v>9</v>
      </c>
      <c r="C42" s="5" t="s">
        <v>11</v>
      </c>
      <c r="D42" s="5">
        <v>0.0</v>
      </c>
    </row>
    <row r="43">
      <c r="A43" s="17">
        <v>45220.61824994213</v>
      </c>
      <c r="B43" s="5" t="s">
        <v>13</v>
      </c>
      <c r="C43" s="5" t="s">
        <v>9</v>
      </c>
      <c r="D43" s="5">
        <v>0.0</v>
      </c>
    </row>
    <row r="44">
      <c r="A44" s="17">
        <v>45222.4859872338</v>
      </c>
      <c r="B44" s="5" t="s">
        <v>9</v>
      </c>
      <c r="C44" s="5" t="s">
        <v>9</v>
      </c>
      <c r="D44" s="5">
        <v>0.0</v>
      </c>
    </row>
    <row r="45">
      <c r="A45" s="17">
        <v>45222.787390150464</v>
      </c>
      <c r="B45" s="5" t="s">
        <v>13</v>
      </c>
      <c r="C45" s="5" t="s">
        <v>13</v>
      </c>
      <c r="D45" s="5">
        <v>0.0</v>
      </c>
    </row>
    <row r="46">
      <c r="A46" s="17">
        <v>45226.5957134375</v>
      </c>
      <c r="B46" s="5" t="s">
        <v>13</v>
      </c>
      <c r="C46" s="5" t="s">
        <v>9</v>
      </c>
      <c r="D46" s="5">
        <v>0.0</v>
      </c>
    </row>
    <row r="47">
      <c r="A47" s="17">
        <v>45228.570955868054</v>
      </c>
      <c r="B47" s="5" t="s">
        <v>13</v>
      </c>
      <c r="C47" s="5" t="s">
        <v>9</v>
      </c>
      <c r="D47" s="5">
        <v>0.0</v>
      </c>
    </row>
    <row r="48">
      <c r="A48" s="17">
        <v>45250.57346122686</v>
      </c>
      <c r="B48" s="5" t="s">
        <v>9</v>
      </c>
      <c r="C48" s="5" t="s">
        <v>9</v>
      </c>
      <c r="D48" s="5">
        <v>0.0</v>
      </c>
    </row>
  </sheetData>
  <mergeCells count="4">
    <mergeCell ref="A1:A2"/>
    <mergeCell ref="B1:B2"/>
    <mergeCell ref="C1:C2"/>
    <mergeCell ref="D1:D2"/>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4" max="4" width="14.88"/>
  </cols>
  <sheetData>
    <row r="1">
      <c r="A1" s="18" t="s">
        <v>210</v>
      </c>
      <c r="B1" s="5" t="str">
        <f t="array" ref="B1">INDEX('Cognitive and physical state'!B:B,COUNTA('Cognitive and physical state'!B:B) + 1,1)</f>
        <v>C</v>
      </c>
      <c r="D1" s="5"/>
      <c r="E1" s="5"/>
      <c r="F1" s="5"/>
      <c r="G1" s="5"/>
      <c r="H1" s="5"/>
    </row>
    <row r="2">
      <c r="A2" s="18" t="s">
        <v>211</v>
      </c>
      <c r="B2" s="5" t="str">
        <f t="array" ref="B2">INDEX('Cognitive and physical state'!C:C,COUNTA('Cognitive and physical state'!C:C) + 1,1)</f>
        <v>C</v>
      </c>
      <c r="D2" s="5"/>
      <c r="E2" s="5"/>
      <c r="F2" s="5"/>
      <c r="G2" s="5"/>
      <c r="H2" s="5"/>
      <c r="I2" s="5"/>
    </row>
    <row r="3">
      <c r="A3" s="19" t="s">
        <v>212</v>
      </c>
      <c r="B3" s="20">
        <f t="array" ref="B3">INDEX('Cognitive and physical state'!D:D,COUNTA('Cognitive and physical state'!D:D) + 1,1)</f>
        <v>0</v>
      </c>
    </row>
    <row r="4">
      <c r="A4" s="5" t="s">
        <v>213</v>
      </c>
      <c r="B4" s="5" t="b">
        <v>0</v>
      </c>
    </row>
    <row r="5">
      <c r="A5" s="5" t="s">
        <v>214</v>
      </c>
    </row>
    <row r="6">
      <c r="A6" s="21" t="s">
        <v>215</v>
      </c>
      <c r="B6" s="22" t="s">
        <v>216</v>
      </c>
      <c r="C6" s="23" t="s">
        <v>217</v>
      </c>
      <c r="D6" s="24"/>
      <c r="E6" s="24"/>
      <c r="G6" s="24"/>
    </row>
    <row r="7">
      <c r="A7" s="16"/>
      <c r="B7" s="16"/>
      <c r="C7" s="25" t="s">
        <v>218</v>
      </c>
      <c r="D7" s="24"/>
      <c r="E7" s="24"/>
      <c r="F7" s="24"/>
      <c r="G7" s="24"/>
      <c r="H7" s="24"/>
    </row>
    <row r="8">
      <c r="A8" s="14" t="str">
        <f>IFERROR(__xludf.DUMMYFUNCTION("QUERY('Tasks pile'!A8:F1000, ""select A, B, E where B is not null and C &gt;= '""&amp;INDEX('Cognitive and physical state'!B:B,COUNTA('Cognitive and physical state'!B:B) + 1,1)&amp;""' and D &gt;= '""&amp;INDEX('Cognitive and physical state'!C:C,COUNTA('Cognitive and physi"&amp;"cal state'!C:C) + 1,1)&amp;""' and E &lt;= ""&amp;INDEX('Cognitive and physical state'!D:D,COUNTA('Cognitive and physical state'!D:D)+1)&amp;"" and F &lt;= ""&amp;INDEX(B4,1,1)&amp;"" order by B desc"")"),"research POTS+clonidine/ativan/etc. is it even a good idea to lower blood pressure using things like propranolol/clonidine?")</f>
        <v>research POTS+clonidine/ativan/etc. is it even a good idea to lower blood pressure using things like propranolol/clonidine?</v>
      </c>
      <c r="B8" s="9">
        <f>IFERROR(__xludf.DUMMYFUNCTION("""COMPUTED_VALUE"""),8.0)</f>
        <v>8</v>
      </c>
      <c r="C8" s="9">
        <f>IFERROR(__xludf.DUMMYFUNCTION("""COMPUTED_VALUE"""),0.0)</f>
        <v>0</v>
      </c>
      <c r="J8" s="26"/>
    </row>
    <row r="9">
      <c r="A9" s="14" t="str">
        <f>IFERROR(__xludf.DUMMYFUNCTION("""COMPUTED_VALUE"""),"trying different methods for swallow that Chantal suggested. See the Roam block ((-EOlFlrUw))")</f>
        <v>trying different methods for swallow that Chantal suggested. See the Roam block ((-EOlFlrUw))</v>
      </c>
      <c r="B9" s="9">
        <f>IFERROR(__xludf.DUMMYFUNCTION("""COMPUTED_VALUE"""),8.0)</f>
        <v>8</v>
      </c>
      <c r="C9" s="9">
        <f>IFERROR(__xludf.DUMMYFUNCTION("""COMPUTED_VALUE"""),0.0)</f>
        <v>0</v>
      </c>
    </row>
    <row r="10">
      <c r="A10" s="14" t="str">
        <f>IFERROR(__xludf.DUMMYFUNCTION("""COMPUTED_VALUE"""),"figure out getting more probars")</f>
        <v>figure out getting more probars</v>
      </c>
      <c r="B10" s="9">
        <f>IFERROR(__xludf.DUMMYFUNCTION("""COMPUTED_VALUE"""),6.0)</f>
        <v>6</v>
      </c>
      <c r="C10" s="9">
        <f>IFERROR(__xludf.DUMMYFUNCTION("""COMPUTED_VALUE"""),0.0)</f>
        <v>0</v>
      </c>
    </row>
    <row r="11">
      <c r="A11" s="14" t="str">
        <f>IFERROR(__xludf.DUMMYFUNCTION("""COMPUTED_VALUE"""),"when i have trouble breathing, try humming for 10 minutes to see if that helps")</f>
        <v>when i have trouble breathing, try humming for 10 minutes to see if that helps</v>
      </c>
      <c r="B11" s="9">
        <f>IFERROR(__xludf.DUMMYFUNCTION("""COMPUTED_VALUE"""),6.0)</f>
        <v>6</v>
      </c>
      <c r="C11" s="9">
        <f>IFERROR(__xludf.DUMMYFUNCTION("""COMPUTED_VALUE"""),0.0)</f>
        <v>0</v>
      </c>
    </row>
    <row r="12">
      <c r="A12" s="14" t="str">
        <f>IFERROR(__xludf.DUMMYFUNCTION("""COMPUTED_VALUE"""),"ask mother to get pressure cooker out")</f>
        <v>ask mother to get pressure cooker out</v>
      </c>
      <c r="B12" s="9">
        <f>IFERROR(__xludf.DUMMYFUNCTION("""COMPUTED_VALUE"""),5.0)</f>
        <v>5</v>
      </c>
      <c r="C12" s="9">
        <f>IFERROR(__xludf.DUMMYFUNCTION("""COMPUTED_VALUE"""),0.0)</f>
        <v>0</v>
      </c>
    </row>
    <row r="13">
      <c r="A13" s="14" t="str">
        <f>IFERROR(__xludf.DUMMYFUNCTION("""COMPUTED_VALUE"""),"ask parents how they feel about using the instant pot for recipes -- would it help them make things easier?")</f>
        <v>ask parents how they feel about using the instant pot for recipes -- would it help them make things easier?</v>
      </c>
      <c r="B13" s="9">
        <f>IFERROR(__xludf.DUMMYFUNCTION("""COMPUTED_VALUE"""),5.0)</f>
        <v>5</v>
      </c>
      <c r="C13" s="9">
        <f>IFERROR(__xludf.DUMMYFUNCTION("""COMPUTED_VALUE"""),0.0)</f>
        <v>0</v>
      </c>
    </row>
    <row r="14">
      <c r="A14" s="14" t="str">
        <f>IFERROR(__xludf.DUMMYFUNCTION("""COMPUTED_VALUE"""),"decide whether to read more of ""How Mathematicians Think
Using Ambiguity, Contradiction, and Paradox to Create Mathematics""")</f>
        <v>decide whether to read more of "How Mathematicians Think
Using Ambiguity, Contradiction, and Paradox to Create Mathematics"</v>
      </c>
      <c r="B14" s="9">
        <f>IFERROR(__xludf.DUMMYFUNCTION("""COMPUTED_VALUE"""),4.0)</f>
        <v>4</v>
      </c>
      <c r="C14" s="9">
        <f>IFERROR(__xludf.DUMMYFUNCTION("""COMPUTED_VALUE"""),0.0)</f>
        <v>0</v>
      </c>
    </row>
    <row r="15">
      <c r="A15" s="14" t="str">
        <f>IFERROR(__xludf.DUMMYFUNCTION("""COMPUTED_VALUE"""),"try drinking with a straw (tried this once with chantal, sometime in october 2023. but i don't think it really sped up my smoothie drinking speed. so idk, i am marking this down in priority for now but open to trying more experiments. Update: at the end o"&amp;"f october/beginning of november, i again tried drinking more smoothies with a straw. i think it's ok but probably doesn't speed things up?)")</f>
        <v>try drinking with a straw (tried this once with chantal, sometime in october 2023. but i don't think it really sped up my smoothie drinking speed. so idk, i am marking this down in priority for now but open to trying more experiments. Update: at the end of october/beginning of november, i again tried drinking more smoothies with a straw. i think it's ok but probably doesn't speed things up?)</v>
      </c>
      <c r="B15" s="9">
        <f>IFERROR(__xludf.DUMMYFUNCTION("""COMPUTED_VALUE"""),3.0)</f>
        <v>3</v>
      </c>
      <c r="C15" s="9">
        <f>IFERROR(__xludf.DUMMYFUNCTION("""COMPUTED_VALUE"""),0.0)</f>
        <v>0</v>
      </c>
    </row>
    <row r="16">
      <c r="A16" s="14" t="str">
        <f>IFERROR(__xludf.DUMMYFUNCTION("""COMPUTED_VALUE"""),"look into the swallowing and breathing videos mark sent. subject:""swallowing and sleep breathing""")</f>
        <v>look into the swallowing and breathing videos mark sent. subject:"swallowing and sleep breathing"</v>
      </c>
      <c r="B16" s="9">
        <f>IFERROR(__xludf.DUMMYFUNCTION("""COMPUTED_VALUE"""),3.0)</f>
        <v>3</v>
      </c>
      <c r="C16" s="9">
        <f>IFERROR(__xludf.DUMMYFUNCTION("""COMPUTED_VALUE"""),0.0)</f>
        <v>0</v>
      </c>
    </row>
    <row r="17">
      <c r="A17" s="14" t="str">
        <f>IFERROR(__xludf.DUMMYFUNCTION("""COMPUTED_VALUE"""),"look at sleeping position videos mark sent. the email has no subject, but search for ""sleeping position links (last two links)""")</f>
        <v>look at sleeping position videos mark sent. the email has no subject, but search for "sleeping position links (last two links)"</v>
      </c>
      <c r="B17" s="9">
        <f>IFERROR(__xludf.DUMMYFUNCTION("""COMPUTED_VALUE"""),3.0)</f>
        <v>3</v>
      </c>
      <c r="C17" s="9">
        <f>IFERROR(__xludf.DUMMYFUNCTION("""COMPUTED_VALUE"""),0.0)</f>
        <v>0</v>
      </c>
    </row>
    <row r="18">
      <c r="A18" s="14" t="str">
        <f>IFERROR(__xludf.DUMMYFUNCTION("""COMPUTED_VALUE"""),"reply to oregon cryonics?")</f>
        <v>reply to oregon cryonics?</v>
      </c>
      <c r="B18" s="9">
        <f>IFERROR(__xludf.DUMMYFUNCTION("""COMPUTED_VALUE"""),3.0)</f>
        <v>3</v>
      </c>
      <c r="C18" s="9">
        <f>IFERROR(__xludf.DUMMYFUNCTION("""COMPUTED_VALUE"""),0.0)</f>
        <v>0</v>
      </c>
    </row>
    <row r="19">
      <c r="A19" s="14" t="str">
        <f>IFERROR(__xludf.DUMMYFUNCTION("""COMPUTED_VALUE"""),"look at Dr. Lechin links mark forwarded. see subject:""fwd: long covid autoimmune"".")</f>
        <v>look at Dr. Lechin links mark forwarded. see subject:"fwd: long covid autoimmune".</v>
      </c>
      <c r="B19" s="9">
        <f>IFERROR(__xludf.DUMMYFUNCTION("""COMPUTED_VALUE"""),3.0)</f>
        <v>3</v>
      </c>
      <c r="C19" s="9">
        <f>IFERROR(__xludf.DUMMYFUNCTION("""COMPUTED_VALUE"""),0.0)</f>
        <v>0</v>
      </c>
    </row>
    <row r="20">
      <c r="A20" s="14" t="str">
        <f>IFERROR(__xludf.DUMMYFUNCTION("""COMPUTED_VALUE"""),"investigate intersections of sjogren's with other symptoms i have: dysphagia, hunger attacks, breathing difficult, etc.")</f>
        <v>investigate intersections of sjogren's with other symptoms i have: dysphagia, hunger attacks, breathing difficult, etc.</v>
      </c>
      <c r="B20" s="9">
        <f>IFERROR(__xludf.DUMMYFUNCTION("""COMPUTED_VALUE"""),3.0)</f>
        <v>3</v>
      </c>
      <c r="C20" s="9">
        <f>IFERROR(__xludf.DUMMYFUNCTION("""COMPUTED_VALUE"""),0.0)</f>
        <v>0</v>
      </c>
    </row>
    <row r="21">
      <c r="A21" s="14" t="str">
        <f>IFERROR(__xludf.DUMMYFUNCTION("""COMPUTED_VALUE"""),"view Ally bank october statement")</f>
        <v>view Ally bank october statement</v>
      </c>
      <c r="B21" s="9">
        <f>IFERROR(__xludf.DUMMYFUNCTION("""COMPUTED_VALUE"""),2.0)</f>
        <v>2</v>
      </c>
      <c r="C21" s="9">
        <f>IFERROR(__xludf.DUMMYFUNCTION("""COMPUTED_VALUE"""),0.0)</f>
        <v>0</v>
      </c>
    </row>
    <row r="22">
      <c r="A22" s="14" t="str">
        <f>IFERROR(__xludf.DUMMYFUNCTION("""COMPUTED_VALUE"""),"15-60min in garden outside listening to animals (mark as done after doing 10 times). Currently done with 3/10.")</f>
        <v>15-60min in garden outside listening to animals (mark as done after doing 10 times). Currently done with 3/10.</v>
      </c>
      <c r="B22" s="9">
        <f>IFERROR(__xludf.DUMMYFUNCTION("""COMPUTED_VALUE"""),2.0)</f>
        <v>2</v>
      </c>
      <c r="C22" s="9">
        <f>IFERROR(__xludf.DUMMYFUNCTION("""COMPUTED_VALUE"""),0.0)</f>
        <v>0</v>
      </c>
    </row>
    <row r="23">
      <c r="A23" s="14" t="str">
        <f>IFERROR(__xludf.DUMMYFUNCTION("""COMPUTED_VALUE"""),"try balance app that lakshmi recommended")</f>
        <v>try balance app that lakshmi recommended</v>
      </c>
      <c r="B23" s="9">
        <f>IFERROR(__xludf.DUMMYFUNCTION("""COMPUTED_VALUE"""),2.0)</f>
        <v>2</v>
      </c>
      <c r="C23" s="9">
        <f>IFERROR(__xludf.DUMMYFUNCTION("""COMPUTED_VALUE"""),0.0)</f>
        <v>0</v>
      </c>
    </row>
    <row r="24">
      <c r="A24" s="14" t="str">
        <f>IFERROR(__xludf.DUMMYFUNCTION("""COMPUTED_VALUE"""),"what causes nose whistling?")</f>
        <v>what causes nose whistling?</v>
      </c>
      <c r="B24" s="9">
        <f>IFERROR(__xludf.DUMMYFUNCTION("""COMPUTED_VALUE"""),2.0)</f>
        <v>2</v>
      </c>
      <c r="C24" s="9">
        <f>IFERROR(__xludf.DUMMYFUNCTION("""COMPUTED_VALUE"""),0.0)</f>
        <v>0</v>
      </c>
    </row>
    <row r="25">
      <c r="A25" s="14" t="str">
        <f>IFERROR(__xludf.DUMMYFUNCTION("""COMPUTED_VALUE"""),"try eating from smaller bowl so food doesn't spoil/dry out as easily")</f>
        <v>try eating from smaller bowl so food doesn't spoil/dry out as easily</v>
      </c>
      <c r="B25" s="9">
        <f>IFERROR(__xludf.DUMMYFUNCTION("""COMPUTED_VALUE"""),2.0)</f>
        <v>2</v>
      </c>
      <c r="C25" s="9">
        <f>IFERROR(__xludf.DUMMYFUNCTION("""COMPUTED_VALUE"""),0.0)</f>
        <v>0</v>
      </c>
    </row>
    <row r="26">
      <c r="A26" s="14" t="str">
        <f>IFERROR(__xludf.DUMMYFUNCTION("""COMPUTED_VALUE"""),"reply to kate farms nutritionist RE the kind of oil they use. subject:""Product Use""")</f>
        <v>reply to kate farms nutritionist RE the kind of oil they use. subject:"Product Use"</v>
      </c>
      <c r="B26" s="9">
        <f>IFERROR(__xludf.DUMMYFUNCTION("""COMPUTED_VALUE"""),2.0)</f>
        <v>2</v>
      </c>
      <c r="C26" s="9">
        <f>IFERROR(__xludf.DUMMYFUNCTION("""COMPUTED_VALUE"""),0.0)</f>
        <v>0</v>
      </c>
    </row>
    <row r="27">
      <c r="A27" s="14" t="str">
        <f>IFERROR(__xludf.DUMMYFUNCTION("""COMPUTED_VALUE"""),"sit and eat and try to retain/recover energy")</f>
        <v>sit and eat and try to retain/recover energy</v>
      </c>
      <c r="B27" s="9">
        <f>IFERROR(__xludf.DUMMYFUNCTION("""COMPUTED_VALUE"""),1.0)</f>
        <v>1</v>
      </c>
      <c r="C27" s="9">
        <f>IFERROR(__xludf.DUMMYFUNCTION("""COMPUTED_VALUE"""),0.0)</f>
        <v>0</v>
      </c>
    </row>
    <row r="28">
      <c r="A28" s="14" t="str">
        <f>IFERROR(__xludf.DUMMYFUNCTION("""COMPUTED_VALUE"""),"which foods are high in quercetin (but note: ""Quercetin supplements in the aglycone form are less bioavailable than the quercetin glycoside often found in foods, especially red onions""), histamine, and tryptophan? (lowering the priority since chantal sa"&amp;"id this might just feed into my anxieties around food)")</f>
        <v>which foods are high in quercetin (but note: "Quercetin supplements in the aglycone form are less bioavailable than the quercetin glycoside often found in foods, especially red onions"), histamine, and tryptophan? (lowering the priority since chantal said this might just feed into my anxieties around food)</v>
      </c>
      <c r="B28" s="9">
        <f>IFERROR(__xludf.DUMMYFUNCTION("""COMPUTED_VALUE"""),1.0)</f>
        <v>1</v>
      </c>
      <c r="C28" s="9">
        <f>IFERROR(__xludf.DUMMYFUNCTION("""COMPUTED_VALUE"""),0.0)</f>
        <v>0</v>
      </c>
    </row>
    <row r="29">
      <c r="A29" s="14" t="str">
        <f>IFERROR(__xludf.DUMMYFUNCTION("""COMPUTED_VALUE"""),"see if ally or charles schwab have a way to deposit a check without going to an atm (this was for the WA gov unclaimed property check of $18.50, but i finally got around to depositing that check so this is lower priority now until i get another check)")</f>
        <v>see if ally or charles schwab have a way to deposit a check without going to an atm (this was for the WA gov unclaimed property check of $18.50, but i finally got around to depositing that check so this is lower priority now until i get another check)</v>
      </c>
      <c r="B29" s="9">
        <f>IFERROR(__xludf.DUMMYFUNCTION("""COMPUTED_VALUE"""),1.0)</f>
        <v>1</v>
      </c>
      <c r="C29" s="9">
        <f>IFERROR(__xludf.DUMMYFUNCTION("""COMPUTED_VALUE"""),0.0)</f>
        <v>0</v>
      </c>
    </row>
    <row r="30">
      <c r="A30" s="14" t="str">
        <f>IFERROR(__xludf.DUMMYFUNCTION("""COMPUTED_VALUE"""),"play pokemon")</f>
        <v>play pokemon</v>
      </c>
      <c r="B30" s="9">
        <f>IFERROR(__xludf.DUMMYFUNCTION("""COMPUTED_VALUE"""),0.0)</f>
        <v>0</v>
      </c>
      <c r="C30" s="9">
        <f>IFERROR(__xludf.DUMMYFUNCTION("""COMPUTED_VALUE"""),0.0)</f>
        <v>0</v>
      </c>
    </row>
    <row r="31">
      <c r="A31" s="14"/>
    </row>
    <row r="32">
      <c r="A32" s="14"/>
    </row>
    <row r="33">
      <c r="A33" s="14"/>
    </row>
    <row r="34">
      <c r="A34" s="14"/>
    </row>
    <row r="35">
      <c r="A35" s="14"/>
    </row>
    <row r="36">
      <c r="A36" s="14"/>
    </row>
    <row r="37">
      <c r="A37" s="14"/>
    </row>
    <row r="38">
      <c r="A38" s="14"/>
      <c r="H38" s="27"/>
    </row>
    <row r="39">
      <c r="A39" s="14"/>
    </row>
    <row r="40">
      <c r="A40" s="14"/>
    </row>
    <row r="41">
      <c r="A41" s="14"/>
    </row>
    <row r="42">
      <c r="A42" s="14"/>
    </row>
    <row r="43">
      <c r="A43" s="14"/>
    </row>
    <row r="44">
      <c r="A44" s="14"/>
    </row>
    <row r="45">
      <c r="A45" s="14"/>
    </row>
    <row r="46">
      <c r="A46" s="14"/>
    </row>
    <row r="47">
      <c r="A47" s="14"/>
    </row>
    <row r="48">
      <c r="A48" s="14"/>
    </row>
    <row r="49">
      <c r="A49"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row r="996">
      <c r="A996" s="14"/>
    </row>
    <row r="997">
      <c r="A997" s="14"/>
    </row>
    <row r="998">
      <c r="A998" s="14"/>
    </row>
    <row r="999">
      <c r="A999" s="14"/>
    </row>
    <row r="1000">
      <c r="A1000" s="14"/>
    </row>
  </sheetData>
  <mergeCells count="5">
    <mergeCell ref="H1:I1"/>
    <mergeCell ref="A6:A7"/>
    <mergeCell ref="B6:B7"/>
    <mergeCell ref="E6:F6"/>
    <mergeCell ref="G6:H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37.25"/>
  </cols>
  <sheetData>
    <row r="1">
      <c r="A1" s="5" t="s">
        <v>219</v>
      </c>
      <c r="B1" s="5" t="s">
        <v>220</v>
      </c>
      <c r="E1" s="5" t="s">
        <v>221</v>
      </c>
      <c r="F1" s="5" t="s">
        <v>222</v>
      </c>
    </row>
    <row r="2">
      <c r="A2" s="5" t="s">
        <v>223</v>
      </c>
      <c r="B2" s="5" t="s">
        <v>224</v>
      </c>
      <c r="E2" s="5">
        <v>10.0</v>
      </c>
      <c r="F2" s="5">
        <v>5.0</v>
      </c>
    </row>
    <row r="3">
      <c r="A3" s="5" t="s">
        <v>225</v>
      </c>
      <c r="B3" s="5" t="s">
        <v>226</v>
      </c>
    </row>
    <row r="4">
      <c r="A4" s="5" t="s">
        <v>227</v>
      </c>
      <c r="E4" s="5" t="s">
        <v>228</v>
      </c>
    </row>
    <row r="5">
      <c r="A5" s="5" t="s">
        <v>229</v>
      </c>
      <c r="B5" s="5" t="s">
        <v>230</v>
      </c>
      <c r="E5" s="5" t="s">
        <v>231</v>
      </c>
    </row>
    <row r="7">
      <c r="E7" s="5" t="s">
        <v>232</v>
      </c>
    </row>
    <row r="8">
      <c r="E8" s="5" t="s">
        <v>233</v>
      </c>
    </row>
  </sheetData>
  <drawing r:id="rId1"/>
</worksheet>
</file>